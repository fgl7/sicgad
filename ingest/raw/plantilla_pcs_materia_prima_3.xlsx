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fredy.guarachi\Downloads\"/>
    </mc:Choice>
  </mc:AlternateContent>
  <xr:revisionPtr revIDLastSave="0" documentId="13_ncr:1_{D801819F-A7A2-4ABE-AB62-56C1FD747F59}" xr6:coauthVersionLast="47" xr6:coauthVersionMax="47" xr10:uidLastSave="{00000000-0000-0000-0000-000000000000}"/>
  <bookViews>
    <workbookView xWindow="-24660" yWindow="3000" windowWidth="22215" windowHeight="12255" xr2:uid="{00000000-000D-0000-FFFF-FFFF00000000}"/>
  </bookViews>
  <sheets>
    <sheet name="Plantill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13" i="1" l="1"/>
  <c r="F213" i="1"/>
  <c r="E213" i="1"/>
  <c r="N212" i="1"/>
  <c r="F212" i="1"/>
  <c r="E212" i="1"/>
  <c r="N211" i="1"/>
  <c r="F211" i="1"/>
  <c r="E211" i="1"/>
  <c r="N210" i="1"/>
  <c r="F210" i="1"/>
  <c r="E210" i="1"/>
  <c r="N209" i="1"/>
  <c r="F209" i="1"/>
  <c r="E209" i="1"/>
  <c r="N208" i="1"/>
  <c r="F208" i="1"/>
  <c r="E208" i="1"/>
  <c r="N207" i="1"/>
  <c r="F207" i="1"/>
  <c r="E207" i="1"/>
  <c r="N206" i="1"/>
  <c r="F206" i="1"/>
  <c r="E206" i="1"/>
  <c r="N205" i="1"/>
  <c r="F205" i="1"/>
  <c r="E205" i="1"/>
  <c r="N204" i="1"/>
  <c r="F204" i="1"/>
  <c r="E204" i="1"/>
  <c r="N203" i="1"/>
  <c r="F203" i="1"/>
  <c r="E203" i="1"/>
  <c r="N202" i="1"/>
  <c r="F202" i="1"/>
  <c r="E202" i="1"/>
  <c r="N201" i="1"/>
  <c r="F201" i="1"/>
  <c r="E201" i="1"/>
  <c r="N200" i="1"/>
  <c r="F200" i="1"/>
  <c r="E200" i="1"/>
  <c r="N199" i="1"/>
  <c r="F199" i="1"/>
  <c r="E199" i="1"/>
  <c r="N198" i="1"/>
  <c r="F198" i="1"/>
  <c r="E198" i="1"/>
  <c r="N197" i="1"/>
  <c r="F197" i="1"/>
  <c r="E197" i="1"/>
  <c r="N196" i="1"/>
  <c r="F196" i="1"/>
  <c r="E196" i="1"/>
  <c r="N195" i="1"/>
  <c r="F195" i="1"/>
  <c r="E195" i="1"/>
  <c r="N194" i="1"/>
  <c r="F194" i="1"/>
  <c r="E194" i="1"/>
  <c r="N193" i="1"/>
  <c r="F193" i="1"/>
  <c r="E193" i="1"/>
  <c r="N192" i="1"/>
  <c r="F192" i="1"/>
  <c r="E192" i="1"/>
  <c r="N191" i="1"/>
  <c r="F191" i="1"/>
  <c r="E191" i="1"/>
  <c r="N190" i="1"/>
  <c r="F190" i="1"/>
  <c r="E190" i="1"/>
  <c r="N189" i="1"/>
  <c r="F189" i="1"/>
  <c r="E189" i="1"/>
  <c r="N188" i="1"/>
  <c r="F188" i="1"/>
  <c r="E188" i="1"/>
  <c r="N187" i="1"/>
  <c r="F187" i="1"/>
  <c r="E187" i="1"/>
  <c r="N186" i="1"/>
  <c r="F186" i="1"/>
  <c r="E186" i="1"/>
  <c r="N185" i="1"/>
  <c r="F185" i="1"/>
  <c r="E185" i="1"/>
  <c r="N184" i="1"/>
  <c r="F184" i="1"/>
  <c r="E184" i="1"/>
  <c r="N183" i="1"/>
  <c r="F183" i="1"/>
  <c r="E183" i="1"/>
  <c r="N182" i="1"/>
  <c r="F182" i="1"/>
  <c r="E182" i="1"/>
  <c r="N181" i="1"/>
  <c r="F181" i="1"/>
  <c r="E181" i="1"/>
  <c r="N180" i="1"/>
  <c r="F180" i="1"/>
  <c r="E180" i="1"/>
  <c r="N179" i="1"/>
  <c r="F179" i="1"/>
  <c r="E179" i="1"/>
  <c r="N178" i="1"/>
  <c r="F178" i="1"/>
  <c r="E178" i="1"/>
  <c r="N177" i="1"/>
  <c r="F177" i="1"/>
  <c r="E177" i="1"/>
  <c r="N176" i="1"/>
  <c r="F176" i="1"/>
  <c r="E176" i="1"/>
  <c r="N175" i="1"/>
  <c r="F175" i="1"/>
  <c r="E175" i="1"/>
  <c r="N174" i="1"/>
  <c r="F174" i="1"/>
  <c r="E174" i="1"/>
  <c r="N173" i="1"/>
  <c r="F173" i="1"/>
  <c r="E173" i="1"/>
  <c r="N172" i="1"/>
  <c r="F172" i="1"/>
  <c r="E172" i="1"/>
  <c r="N171" i="1"/>
  <c r="F171" i="1"/>
  <c r="E171" i="1"/>
  <c r="N170" i="1"/>
  <c r="F170" i="1"/>
  <c r="E170" i="1"/>
  <c r="N169" i="1"/>
  <c r="F169" i="1"/>
  <c r="E169" i="1"/>
  <c r="N168" i="1"/>
  <c r="F168" i="1"/>
  <c r="E168" i="1"/>
  <c r="N167" i="1"/>
  <c r="F167" i="1"/>
  <c r="E167" i="1"/>
  <c r="N166" i="1"/>
  <c r="F166" i="1"/>
  <c r="E166" i="1"/>
  <c r="N165" i="1"/>
  <c r="F165" i="1"/>
  <c r="E165" i="1"/>
  <c r="N164" i="1"/>
  <c r="F164" i="1"/>
  <c r="E164" i="1"/>
  <c r="N163" i="1"/>
  <c r="F163" i="1"/>
  <c r="E163" i="1"/>
  <c r="N162" i="1"/>
  <c r="F162" i="1"/>
  <c r="E162" i="1"/>
  <c r="N161" i="1"/>
  <c r="F161" i="1"/>
  <c r="E161" i="1"/>
  <c r="N160" i="1"/>
  <c r="F160" i="1"/>
  <c r="E160" i="1"/>
  <c r="N159" i="1"/>
  <c r="F159" i="1"/>
  <c r="E159" i="1"/>
  <c r="N158" i="1"/>
  <c r="F158" i="1"/>
  <c r="E158" i="1"/>
  <c r="N157" i="1"/>
  <c r="F157" i="1"/>
  <c r="E157" i="1"/>
  <c r="N156" i="1"/>
  <c r="F156" i="1"/>
  <c r="E156" i="1"/>
  <c r="N155" i="1"/>
  <c r="F155" i="1"/>
  <c r="E155" i="1"/>
  <c r="N154" i="1"/>
  <c r="F154" i="1"/>
  <c r="E154" i="1"/>
  <c r="N153" i="1"/>
  <c r="F153" i="1"/>
  <c r="E153" i="1"/>
  <c r="N152" i="1"/>
  <c r="F152" i="1"/>
  <c r="E152" i="1"/>
  <c r="N151" i="1"/>
  <c r="F151" i="1"/>
  <c r="E151" i="1"/>
  <c r="N150" i="1"/>
  <c r="F150" i="1"/>
  <c r="E150" i="1"/>
  <c r="N149" i="1"/>
  <c r="F149" i="1"/>
  <c r="E149" i="1"/>
  <c r="N148" i="1"/>
  <c r="F148" i="1"/>
  <c r="E148" i="1"/>
  <c r="N147" i="1"/>
  <c r="F147" i="1"/>
  <c r="E147" i="1"/>
  <c r="N146" i="1"/>
  <c r="F146" i="1"/>
  <c r="E146" i="1"/>
  <c r="N145" i="1"/>
  <c r="F145" i="1"/>
  <c r="E145" i="1"/>
  <c r="N144" i="1"/>
  <c r="F144" i="1"/>
  <c r="E144" i="1"/>
  <c r="N143" i="1"/>
  <c r="F143" i="1"/>
  <c r="E143" i="1"/>
  <c r="N142" i="1"/>
  <c r="F142" i="1"/>
  <c r="E142" i="1"/>
  <c r="N141" i="1"/>
  <c r="F141" i="1"/>
  <c r="E141" i="1"/>
  <c r="N140" i="1"/>
  <c r="F140" i="1"/>
  <c r="E140" i="1"/>
  <c r="N139" i="1"/>
  <c r="F139" i="1"/>
  <c r="E139" i="1"/>
  <c r="N138" i="1"/>
  <c r="F138" i="1"/>
  <c r="E138" i="1"/>
  <c r="N137" i="1"/>
  <c r="F137" i="1"/>
  <c r="E137" i="1"/>
  <c r="N136" i="1"/>
  <c r="F136" i="1"/>
  <c r="E136" i="1"/>
  <c r="N135" i="1"/>
  <c r="F135" i="1"/>
  <c r="E135" i="1"/>
  <c r="N134" i="1"/>
  <c r="F134" i="1"/>
  <c r="E134" i="1"/>
  <c r="N133" i="1"/>
  <c r="F133" i="1"/>
  <c r="E133" i="1"/>
  <c r="N132" i="1"/>
  <c r="F132" i="1"/>
  <c r="E132" i="1"/>
  <c r="N131" i="1"/>
  <c r="F131" i="1"/>
  <c r="E131" i="1"/>
  <c r="N130" i="1"/>
  <c r="F130" i="1"/>
  <c r="E130" i="1"/>
  <c r="N129" i="1"/>
  <c r="F129" i="1"/>
  <c r="E129" i="1"/>
  <c r="N128" i="1"/>
  <c r="F128" i="1"/>
  <c r="E128" i="1"/>
  <c r="N127" i="1"/>
  <c r="F127" i="1"/>
  <c r="E127" i="1"/>
  <c r="N126" i="1"/>
  <c r="F126" i="1"/>
  <c r="E126" i="1"/>
  <c r="N125" i="1"/>
  <c r="F125" i="1"/>
  <c r="E125" i="1"/>
  <c r="N124" i="1"/>
  <c r="F124" i="1"/>
  <c r="E124" i="1"/>
  <c r="N123" i="1"/>
  <c r="F123" i="1"/>
  <c r="E123" i="1"/>
  <c r="N122" i="1"/>
  <c r="F122" i="1"/>
  <c r="E122" i="1"/>
  <c r="N121" i="1"/>
  <c r="F121" i="1"/>
  <c r="E121" i="1"/>
  <c r="N120" i="1"/>
  <c r="F120" i="1"/>
  <c r="E120" i="1"/>
  <c r="N119" i="1"/>
  <c r="F119" i="1"/>
  <c r="E119" i="1"/>
  <c r="N118" i="1"/>
  <c r="F118" i="1"/>
  <c r="E118" i="1"/>
  <c r="N117" i="1"/>
  <c r="F117" i="1"/>
  <c r="E117" i="1"/>
  <c r="N116" i="1"/>
  <c r="F116" i="1"/>
  <c r="E116" i="1"/>
  <c r="N115" i="1"/>
  <c r="F115" i="1"/>
  <c r="E115" i="1"/>
  <c r="N114" i="1"/>
  <c r="F114" i="1"/>
  <c r="E114" i="1"/>
  <c r="N113" i="1"/>
  <c r="F113" i="1"/>
  <c r="E113" i="1"/>
  <c r="N112" i="1"/>
  <c r="F112" i="1"/>
  <c r="E112" i="1"/>
  <c r="N111" i="1"/>
  <c r="F111" i="1"/>
  <c r="E111" i="1"/>
  <c r="N110" i="1"/>
  <c r="F110" i="1"/>
  <c r="E110" i="1"/>
  <c r="N109" i="1"/>
  <c r="F109" i="1"/>
  <c r="E109" i="1"/>
  <c r="N108" i="1"/>
  <c r="F108" i="1"/>
  <c r="E108" i="1"/>
  <c r="N107" i="1"/>
  <c r="F107" i="1"/>
  <c r="E107" i="1"/>
  <c r="N106" i="1"/>
  <c r="F106" i="1"/>
  <c r="E106" i="1"/>
  <c r="N105" i="1"/>
  <c r="F105" i="1"/>
  <c r="E105" i="1"/>
  <c r="N104" i="1"/>
  <c r="F104" i="1"/>
  <c r="E104" i="1"/>
  <c r="N103" i="1"/>
  <c r="F103" i="1"/>
  <c r="E103" i="1"/>
  <c r="N102" i="1"/>
  <c r="F102" i="1"/>
  <c r="E102" i="1"/>
  <c r="N101" i="1"/>
  <c r="F101" i="1"/>
  <c r="E101" i="1"/>
  <c r="N100" i="1"/>
  <c r="F100" i="1"/>
  <c r="E100" i="1"/>
  <c r="N99" i="1"/>
  <c r="F99" i="1"/>
  <c r="E99" i="1"/>
  <c r="N98" i="1"/>
  <c r="F98" i="1"/>
  <c r="E98" i="1"/>
  <c r="N97" i="1"/>
  <c r="F97" i="1"/>
  <c r="E97" i="1"/>
  <c r="N96" i="1"/>
  <c r="F96" i="1"/>
  <c r="E96" i="1"/>
  <c r="N95" i="1"/>
  <c r="F95" i="1"/>
  <c r="E95" i="1"/>
  <c r="N94" i="1"/>
  <c r="F94" i="1"/>
  <c r="E94" i="1"/>
  <c r="N93" i="1"/>
  <c r="F93" i="1"/>
  <c r="E93" i="1"/>
  <c r="N92" i="1"/>
  <c r="F92" i="1"/>
  <c r="E92" i="1"/>
  <c r="N91" i="1"/>
  <c r="F91" i="1"/>
  <c r="E91" i="1"/>
  <c r="N90" i="1"/>
  <c r="F90" i="1"/>
  <c r="E90" i="1"/>
  <c r="N89" i="1"/>
  <c r="F89" i="1"/>
  <c r="E89" i="1"/>
  <c r="N88" i="1"/>
  <c r="F88" i="1"/>
  <c r="E88" i="1"/>
  <c r="N87" i="1"/>
  <c r="F87" i="1"/>
  <c r="E87" i="1"/>
  <c r="N86" i="1"/>
  <c r="F86" i="1"/>
  <c r="E86" i="1"/>
  <c r="N85" i="1"/>
  <c r="F85" i="1"/>
  <c r="E85" i="1"/>
  <c r="N84" i="1"/>
  <c r="F84" i="1"/>
  <c r="E84" i="1"/>
  <c r="N83" i="1"/>
  <c r="F83" i="1"/>
  <c r="E83" i="1"/>
  <c r="N82" i="1"/>
  <c r="F82" i="1"/>
  <c r="E82" i="1"/>
  <c r="N81" i="1"/>
  <c r="F81" i="1"/>
  <c r="E81" i="1"/>
  <c r="N80" i="1"/>
  <c r="F80" i="1"/>
  <c r="E80" i="1"/>
  <c r="N79" i="1"/>
  <c r="F79" i="1"/>
  <c r="E79" i="1"/>
  <c r="N78" i="1"/>
  <c r="F78" i="1"/>
  <c r="E78" i="1"/>
  <c r="N77" i="1"/>
  <c r="F77" i="1"/>
  <c r="E77" i="1"/>
  <c r="N76" i="1"/>
  <c r="F76" i="1"/>
  <c r="E76" i="1"/>
  <c r="N75" i="1"/>
  <c r="F75" i="1"/>
  <c r="E75" i="1"/>
  <c r="N74" i="1"/>
  <c r="F74" i="1"/>
  <c r="E74" i="1"/>
  <c r="N73" i="1"/>
  <c r="F73" i="1"/>
  <c r="E73" i="1"/>
  <c r="N72" i="1"/>
  <c r="F72" i="1"/>
  <c r="E72" i="1"/>
  <c r="N71" i="1"/>
  <c r="F71" i="1"/>
  <c r="E71" i="1"/>
  <c r="N70" i="1"/>
  <c r="F70" i="1"/>
  <c r="E70" i="1"/>
  <c r="N69" i="1"/>
  <c r="F69" i="1"/>
  <c r="E69" i="1"/>
  <c r="N68" i="1"/>
  <c r="F68" i="1"/>
  <c r="E68" i="1"/>
  <c r="N67" i="1"/>
  <c r="F67" i="1"/>
  <c r="E67" i="1"/>
  <c r="N66" i="1"/>
  <c r="F66" i="1"/>
  <c r="E66" i="1"/>
  <c r="N65" i="1"/>
  <c r="F65" i="1"/>
  <c r="E65" i="1"/>
  <c r="N64" i="1"/>
  <c r="F64" i="1"/>
  <c r="E64" i="1"/>
  <c r="N63" i="1"/>
  <c r="F63" i="1"/>
  <c r="E63" i="1"/>
  <c r="N62" i="1"/>
  <c r="F62" i="1"/>
  <c r="E62" i="1"/>
  <c r="N61" i="1"/>
  <c r="F61" i="1"/>
  <c r="E61" i="1"/>
  <c r="N60" i="1"/>
  <c r="F60" i="1"/>
  <c r="E60" i="1"/>
  <c r="N59" i="1"/>
  <c r="F59" i="1"/>
  <c r="E59" i="1"/>
  <c r="N58" i="1"/>
  <c r="F58" i="1"/>
  <c r="E58" i="1"/>
  <c r="N57" i="1"/>
  <c r="F57" i="1"/>
  <c r="E57" i="1"/>
  <c r="N56" i="1"/>
  <c r="F56" i="1"/>
  <c r="E56" i="1"/>
  <c r="N55" i="1"/>
  <c r="F55" i="1"/>
  <c r="E55" i="1"/>
  <c r="N54" i="1"/>
  <c r="F54" i="1"/>
  <c r="E54" i="1"/>
  <c r="N53" i="1"/>
  <c r="F53" i="1"/>
  <c r="E53" i="1"/>
  <c r="N52" i="1"/>
  <c r="F52" i="1"/>
  <c r="E52" i="1"/>
  <c r="N51" i="1"/>
  <c r="F51" i="1"/>
  <c r="E51" i="1"/>
  <c r="N50" i="1"/>
  <c r="F50" i="1"/>
  <c r="E50" i="1"/>
  <c r="N49" i="1"/>
  <c r="F49" i="1"/>
  <c r="E49" i="1"/>
  <c r="N48" i="1"/>
  <c r="F48" i="1"/>
  <c r="E48" i="1"/>
  <c r="N47" i="1"/>
  <c r="F47" i="1"/>
  <c r="E47" i="1"/>
  <c r="N46" i="1"/>
  <c r="F46" i="1"/>
  <c r="E46" i="1"/>
  <c r="N45" i="1"/>
  <c r="F45" i="1"/>
  <c r="E45" i="1"/>
  <c r="N44" i="1"/>
  <c r="F44" i="1"/>
  <c r="E44" i="1"/>
  <c r="N43" i="1"/>
  <c r="F43" i="1"/>
  <c r="E43" i="1"/>
  <c r="N42" i="1"/>
  <c r="F42" i="1"/>
  <c r="E42" i="1"/>
  <c r="N41" i="1"/>
  <c r="F41" i="1"/>
  <c r="E41" i="1"/>
  <c r="N40" i="1"/>
  <c r="F40" i="1"/>
  <c r="E40" i="1"/>
  <c r="N39" i="1"/>
  <c r="F39" i="1"/>
  <c r="E39" i="1"/>
  <c r="N38" i="1"/>
  <c r="F38" i="1"/>
  <c r="E38" i="1"/>
  <c r="N37" i="1"/>
  <c r="F37" i="1"/>
  <c r="E37" i="1"/>
  <c r="N36" i="1"/>
  <c r="F36" i="1"/>
  <c r="E36" i="1"/>
  <c r="N35" i="1"/>
  <c r="F35" i="1"/>
  <c r="E35" i="1"/>
  <c r="N34" i="1"/>
  <c r="F34" i="1"/>
  <c r="E34" i="1"/>
  <c r="N33" i="1"/>
  <c r="F33" i="1"/>
  <c r="E33" i="1"/>
  <c r="N32" i="1"/>
  <c r="F32" i="1"/>
  <c r="E32" i="1"/>
  <c r="N31" i="1"/>
  <c r="F31" i="1"/>
  <c r="E31" i="1"/>
  <c r="N30" i="1"/>
  <c r="F30" i="1"/>
  <c r="E30" i="1"/>
  <c r="N29" i="1"/>
  <c r="F29" i="1"/>
  <c r="E29" i="1"/>
  <c r="N28" i="1"/>
  <c r="F28" i="1"/>
  <c r="E28" i="1"/>
  <c r="N27" i="1"/>
  <c r="F27" i="1"/>
  <c r="E27" i="1"/>
  <c r="N26" i="1"/>
  <c r="F26" i="1"/>
  <c r="E26" i="1"/>
  <c r="N25" i="1"/>
  <c r="F25" i="1"/>
  <c r="E25" i="1"/>
  <c r="N24" i="1"/>
  <c r="F24" i="1"/>
  <c r="E24" i="1"/>
  <c r="N23" i="1"/>
  <c r="F23" i="1"/>
  <c r="E23" i="1"/>
  <c r="N22" i="1"/>
  <c r="F22" i="1"/>
  <c r="E22" i="1"/>
  <c r="N21" i="1"/>
  <c r="F21" i="1"/>
  <c r="E21" i="1"/>
  <c r="N20" i="1"/>
  <c r="F20" i="1"/>
  <c r="E20" i="1"/>
  <c r="N19" i="1"/>
  <c r="F19" i="1"/>
  <c r="E19" i="1"/>
  <c r="N18" i="1"/>
  <c r="F18" i="1"/>
  <c r="E18" i="1"/>
  <c r="N17" i="1"/>
  <c r="F17" i="1"/>
  <c r="E17" i="1"/>
  <c r="N16" i="1"/>
  <c r="F16" i="1"/>
  <c r="E16" i="1"/>
  <c r="N15" i="1"/>
  <c r="F15" i="1"/>
  <c r="E15" i="1"/>
  <c r="N14" i="1"/>
  <c r="F14" i="1"/>
  <c r="E14" i="1"/>
  <c r="N13" i="1"/>
  <c r="F13" i="1"/>
  <c r="E13" i="1"/>
  <c r="N12" i="1"/>
  <c r="F12" i="1"/>
  <c r="E12" i="1"/>
  <c r="N11" i="1"/>
  <c r="F11" i="1"/>
  <c r="E11" i="1"/>
  <c r="N10" i="1"/>
  <c r="F10" i="1"/>
  <c r="E10" i="1"/>
  <c r="N9" i="1"/>
  <c r="F9" i="1"/>
  <c r="E9" i="1"/>
  <c r="N8" i="1"/>
  <c r="F8" i="1"/>
  <c r="E8" i="1"/>
  <c r="N7" i="1"/>
  <c r="F7" i="1"/>
  <c r="E7" i="1"/>
  <c r="N6" i="1"/>
  <c r="F6" i="1"/>
  <c r="E6" i="1"/>
  <c r="N5" i="1"/>
  <c r="F5" i="1"/>
  <c r="E5" i="1"/>
  <c r="N4" i="1"/>
  <c r="F4" i="1"/>
  <c r="E4" i="1"/>
  <c r="N3" i="1"/>
  <c r="F3" i="1"/>
  <c r="E3" i="1"/>
  <c r="N2" i="1"/>
  <c r="F2" i="1"/>
  <c r="E2" i="1"/>
</calcChain>
</file>

<file path=xl/sharedStrings.xml><?xml version="1.0" encoding="utf-8"?>
<sst xmlns="http://schemas.openxmlformats.org/spreadsheetml/2006/main" count="14" uniqueCount="14">
  <si>
    <t>fecha</t>
  </si>
  <si>
    <t>salmuera_tm</t>
  </si>
  <si>
    <t>k_pp_%</t>
  </si>
  <si>
    <t>li_pp_%</t>
  </si>
  <si>
    <t>uf_k_tm</t>
  </si>
  <si>
    <t>uf_li_tm</t>
  </si>
  <si>
    <t>fosa</t>
  </si>
  <si>
    <t>fase_1</t>
  </si>
  <si>
    <t>fase_2</t>
  </si>
  <si>
    <t>fase_3</t>
  </si>
  <si>
    <t>fase_4</t>
  </si>
  <si>
    <t>fase_5</t>
  </si>
  <si>
    <t>fase_6</t>
  </si>
  <si>
    <t>total_f_p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</si>
</sst>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\ d/m/yyyy"/>
    <numFmt numFmtId="165" formatCode="#,##0_ ;\-#,##0\ "/>
  </numFmts>
  <fonts count="5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>
      <protection locked="0"/>
    </xf>
  </cellStyleXfs>
  <cellXfs count="37">
    <xf numFmtId="0" fontId="0" fillId="0" borderId="0" xfId="0"/>
    <xf numFmtId="164" fontId="1" fillId="0" borderId="1" xfId="0" applyNumberFormat="1" applyFont="1" applyBorder="1" applyAlignment="1" applyProtection="1">
      <alignment horizontal="center" vertical="center" wrapText="1"/>
      <protection locked="0"/>
    </xf>
    <xf numFmtId="3" fontId="2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64" fontId="1" fillId="2" borderId="3" xfId="0" applyNumberFormat="1" applyFont="1" applyFill="1" applyBorder="1" applyAlignment="1" applyProtection="1">
      <alignment horizontal="center" vertical="center" wrapText="1"/>
      <protection locked="0"/>
    </xf>
    <xf numFmtId="3" fontId="2" fillId="2" borderId="3" xfId="0" applyNumberFormat="1" applyFont="1" applyFill="1" applyBorder="1" applyAlignment="1">
      <alignment horizontal="center" vertical="center" wrapText="1"/>
    </xf>
    <xf numFmtId="2" fontId="1" fillId="2" borderId="3" xfId="0" applyNumberFormat="1" applyFont="1" applyFill="1" applyBorder="1" applyAlignment="1">
      <alignment horizontal="center" vertical="center" wrapText="1"/>
    </xf>
    <xf numFmtId="1" fontId="1" fillId="2" borderId="3" xfId="0" applyNumberFormat="1" applyFont="1" applyFill="1" applyBorder="1" applyAlignment="1">
      <alignment horizontal="center" vertical="center" wrapText="1"/>
    </xf>
    <xf numFmtId="1" fontId="1" fillId="2" borderId="4" xfId="0" applyNumberFormat="1" applyFont="1" applyFill="1" applyBorder="1" applyAlignment="1">
      <alignment horizontal="center" vertical="center" wrapText="1"/>
    </xf>
    <xf numFmtId="164" fontId="1" fillId="0" borderId="5" xfId="0" applyNumberFormat="1" applyFont="1" applyBorder="1" applyAlignment="1" applyProtection="1">
      <alignment horizontal="center" vertical="center" wrapText="1"/>
      <protection locked="0"/>
    </xf>
    <xf numFmtId="3" fontId="2" fillId="0" borderId="5" xfId="0" applyNumberFormat="1" applyFont="1" applyBorder="1" applyAlignment="1">
      <alignment horizontal="center" vertical="center" wrapText="1"/>
    </xf>
    <xf numFmtId="2" fontId="1" fillId="0" borderId="5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164" fontId="1" fillId="0" borderId="7" xfId="0" applyNumberFormat="1" applyFont="1" applyBorder="1" applyAlignment="1" applyProtection="1">
      <alignment horizontal="center" vertical="center" wrapText="1"/>
      <protection locked="0"/>
    </xf>
    <xf numFmtId="3" fontId="2" fillId="0" borderId="7" xfId="0" applyNumberFormat="1" applyFont="1" applyBorder="1" applyAlignment="1">
      <alignment horizontal="center" vertical="center" wrapText="1"/>
    </xf>
    <xf numFmtId="2" fontId="1" fillId="0" borderId="7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64" fontId="1" fillId="3" borderId="5" xfId="0" applyNumberFormat="1" applyFont="1" applyFill="1" applyBorder="1" applyAlignment="1" applyProtection="1">
      <alignment horizontal="center" vertical="center" wrapText="1"/>
      <protection locked="0"/>
    </xf>
    <xf numFmtId="3" fontId="2" fillId="3" borderId="5" xfId="0" applyNumberFormat="1" applyFont="1" applyFill="1" applyBorder="1" applyAlignment="1">
      <alignment horizontal="center" vertical="center" wrapText="1"/>
    </xf>
    <xf numFmtId="2" fontId="1" fillId="3" borderId="5" xfId="0" applyNumberFormat="1" applyFont="1" applyFill="1" applyBorder="1" applyAlignment="1">
      <alignment horizontal="center" vertical="center" wrapText="1"/>
    </xf>
    <xf numFmtId="1" fontId="1" fillId="3" borderId="5" xfId="0" applyNumberFormat="1" applyFont="1" applyFill="1" applyBorder="1" applyAlignment="1">
      <alignment horizontal="center" vertical="center" wrapText="1"/>
    </xf>
    <xf numFmtId="1" fontId="1" fillId="3" borderId="6" xfId="0" applyNumberFormat="1" applyFont="1" applyFill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 wrapText="1"/>
    </xf>
    <xf numFmtId="165" fontId="4" fillId="0" borderId="1" xfId="1" applyNumberFormat="1" applyFont="1" applyBorder="1" applyAlignment="1" applyProtection="1">
      <alignment horizontal="center" vertical="center"/>
    </xf>
    <xf numFmtId="164" fontId="1" fillId="0" borderId="3" xfId="0" applyNumberFormat="1" applyFont="1" applyBorder="1" applyAlignment="1" applyProtection="1">
      <alignment horizontal="center" vertical="center" wrapText="1"/>
      <protection locked="0"/>
    </xf>
    <xf numFmtId="165" fontId="4" fillId="0" borderId="10" xfId="1" applyNumberFormat="1" applyFont="1" applyBorder="1" applyAlignment="1" applyProtection="1">
      <alignment horizontal="center" vertical="center"/>
    </xf>
    <xf numFmtId="2" fontId="1" fillId="0" borderId="3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164" fontId="1" fillId="0" borderId="11" xfId="0" applyNumberFormat="1" applyFont="1" applyBorder="1" applyAlignment="1" applyProtection="1">
      <alignment horizontal="center" vertical="center" wrapText="1"/>
      <protection locked="0"/>
    </xf>
    <xf numFmtId="165" fontId="4" fillId="0" borderId="11" xfId="1" applyNumberFormat="1" applyFont="1" applyBorder="1" applyAlignment="1" applyProtection="1">
      <alignment horizontal="center" vertical="center"/>
    </xf>
    <xf numFmtId="2" fontId="1" fillId="0" borderId="11" xfId="0" applyNumberFormat="1" applyFont="1" applyBorder="1" applyAlignment="1">
      <alignment horizontal="center" vertical="center" wrapText="1"/>
    </xf>
    <xf numFmtId="1" fontId="1" fillId="0" borderId="11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2 2" xfId="1" xr:uid="{9AFA2D69-1CD0-4530-A21B-A579927DA9C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3"/>
  <sheetViews>
    <sheetView tabSelected="1" topLeftCell="A196" workbookViewId="0">
      <selection activeCell="A213" sqref="A213"/>
    </sheetView>
  </sheetViews>
  <sheetFormatPr defaultRowHeight="15" x14ac:dyDescent="0.25"/>
  <cols>
    <col min="1" max="1" width="11.140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45658</v>
      </c>
      <c r="B2" s="2">
        <v>63318</v>
      </c>
      <c r="C2" s="3">
        <v>1.68</v>
      </c>
      <c r="D2" s="3">
        <v>0.08</v>
      </c>
      <c r="E2" s="4">
        <f t="shared" ref="E2:E65" si="0">+C2*B2/100</f>
        <v>1063.7423999999999</v>
      </c>
      <c r="F2" s="4">
        <f t="shared" ref="F2:F65" si="1">+D2*B2/100</f>
        <v>50.654400000000003</v>
      </c>
      <c r="G2" s="5">
        <v>5</v>
      </c>
      <c r="H2" s="5">
        <v>6</v>
      </c>
      <c r="I2" s="5">
        <v>6</v>
      </c>
      <c r="J2" s="5">
        <v>14</v>
      </c>
      <c r="K2" s="5"/>
      <c r="L2" s="5"/>
      <c r="M2" s="5">
        <v>15</v>
      </c>
      <c r="N2" s="5">
        <f t="shared" ref="N2:N17" si="2">+SUM(G2:M2)</f>
        <v>46</v>
      </c>
    </row>
    <row r="3" spans="1:14" x14ac:dyDescent="0.25">
      <c r="A3" s="1">
        <v>45659</v>
      </c>
      <c r="B3" s="2">
        <v>64856</v>
      </c>
      <c r="C3" s="3">
        <v>1.68</v>
      </c>
      <c r="D3" s="3">
        <v>0.08</v>
      </c>
      <c r="E3" s="4">
        <f t="shared" si="0"/>
        <v>1089.5808</v>
      </c>
      <c r="F3" s="4">
        <f t="shared" si="1"/>
        <v>51.884800000000006</v>
      </c>
      <c r="G3" s="5">
        <v>5</v>
      </c>
      <c r="H3" s="5">
        <v>6</v>
      </c>
      <c r="I3" s="5">
        <v>6</v>
      </c>
      <c r="J3" s="5">
        <v>14</v>
      </c>
      <c r="K3" s="5"/>
      <c r="L3" s="5">
        <v>4</v>
      </c>
      <c r="M3" s="5">
        <v>15</v>
      </c>
      <c r="N3" s="5">
        <f t="shared" si="2"/>
        <v>50</v>
      </c>
    </row>
    <row r="4" spans="1:14" x14ac:dyDescent="0.25">
      <c r="A4" s="1">
        <v>45660</v>
      </c>
      <c r="B4" s="2">
        <v>58580</v>
      </c>
      <c r="C4" s="3">
        <v>1.68</v>
      </c>
      <c r="D4" s="3">
        <v>0.08</v>
      </c>
      <c r="E4" s="4">
        <f t="shared" si="0"/>
        <v>984.14399999999989</v>
      </c>
      <c r="F4" s="4">
        <f t="shared" si="1"/>
        <v>46.864000000000004</v>
      </c>
      <c r="G4" s="5">
        <v>5</v>
      </c>
      <c r="H4" s="5">
        <v>6</v>
      </c>
      <c r="I4" s="5">
        <v>6</v>
      </c>
      <c r="J4" s="5">
        <v>13</v>
      </c>
      <c r="K4" s="5"/>
      <c r="L4" s="5">
        <v>25</v>
      </c>
      <c r="M4" s="5">
        <v>15</v>
      </c>
      <c r="N4" s="5">
        <f t="shared" si="2"/>
        <v>70</v>
      </c>
    </row>
    <row r="5" spans="1:14" x14ac:dyDescent="0.25">
      <c r="A5" s="1">
        <v>45661</v>
      </c>
      <c r="B5" s="2">
        <v>50404</v>
      </c>
      <c r="C5" s="3">
        <v>1.68</v>
      </c>
      <c r="D5" s="3">
        <v>0.08</v>
      </c>
      <c r="E5" s="4">
        <f t="shared" si="0"/>
        <v>846.78719999999998</v>
      </c>
      <c r="F5" s="4">
        <f t="shared" si="1"/>
        <v>40.3232</v>
      </c>
      <c r="G5" s="5">
        <v>5</v>
      </c>
      <c r="H5" s="5">
        <v>6</v>
      </c>
      <c r="I5" s="5">
        <v>6</v>
      </c>
      <c r="J5" s="5">
        <v>12</v>
      </c>
      <c r="K5" s="5"/>
      <c r="L5" s="5">
        <v>1</v>
      </c>
      <c r="M5" s="5">
        <v>14</v>
      </c>
      <c r="N5" s="5">
        <f>+SUM(G5:M5)</f>
        <v>44</v>
      </c>
    </row>
    <row r="6" spans="1:14" x14ac:dyDescent="0.25">
      <c r="A6" s="1">
        <v>45662</v>
      </c>
      <c r="B6" s="2">
        <v>57019</v>
      </c>
      <c r="C6" s="3">
        <v>1.65</v>
      </c>
      <c r="D6" s="3">
        <v>0.08</v>
      </c>
      <c r="E6" s="4">
        <f t="shared" si="0"/>
        <v>940.81349999999986</v>
      </c>
      <c r="F6" s="4">
        <f t="shared" si="1"/>
        <v>45.615200000000002</v>
      </c>
      <c r="G6" s="5">
        <v>5</v>
      </c>
      <c r="H6" s="5">
        <v>6</v>
      </c>
      <c r="I6" s="5">
        <v>6</v>
      </c>
      <c r="J6" s="5">
        <v>12</v>
      </c>
      <c r="K6" s="5"/>
      <c r="L6" s="5">
        <v>4</v>
      </c>
      <c r="M6" s="5">
        <v>15</v>
      </c>
      <c r="N6" s="5">
        <f>+SUM(G6:M6)</f>
        <v>48</v>
      </c>
    </row>
    <row r="7" spans="1:14" x14ac:dyDescent="0.25">
      <c r="A7" s="1">
        <v>45663</v>
      </c>
      <c r="B7" s="2">
        <v>56786</v>
      </c>
      <c r="C7" s="3">
        <v>1.65</v>
      </c>
      <c r="D7" s="3">
        <v>0.08</v>
      </c>
      <c r="E7" s="4">
        <f t="shared" si="0"/>
        <v>936.96899999999994</v>
      </c>
      <c r="F7" s="4">
        <f t="shared" si="1"/>
        <v>45.428800000000003</v>
      </c>
      <c r="G7" s="5">
        <v>4</v>
      </c>
      <c r="H7" s="5">
        <v>6</v>
      </c>
      <c r="I7" s="5">
        <v>6</v>
      </c>
      <c r="J7" s="5">
        <v>12</v>
      </c>
      <c r="K7" s="5"/>
      <c r="L7" s="5"/>
      <c r="M7" s="5">
        <v>15</v>
      </c>
      <c r="N7" s="5">
        <f t="shared" ref="N7:N70" si="3">+SUM(G7:M7)</f>
        <v>43</v>
      </c>
    </row>
    <row r="8" spans="1:14" x14ac:dyDescent="0.25">
      <c r="A8" s="1">
        <v>45664</v>
      </c>
      <c r="B8" s="2">
        <v>46903</v>
      </c>
      <c r="C8" s="3">
        <v>1.65</v>
      </c>
      <c r="D8" s="3">
        <v>0.08</v>
      </c>
      <c r="E8" s="4">
        <f t="shared" si="0"/>
        <v>773.89949999999999</v>
      </c>
      <c r="F8" s="4">
        <f t="shared" si="1"/>
        <v>37.522400000000005</v>
      </c>
      <c r="G8" s="5">
        <v>2</v>
      </c>
      <c r="H8" s="5">
        <v>5</v>
      </c>
      <c r="I8" s="5">
        <v>6</v>
      </c>
      <c r="J8" s="5">
        <v>10</v>
      </c>
      <c r="K8" s="5"/>
      <c r="L8" s="5"/>
      <c r="M8" s="5">
        <v>15</v>
      </c>
      <c r="N8" s="5">
        <f t="shared" si="3"/>
        <v>38</v>
      </c>
    </row>
    <row r="9" spans="1:14" x14ac:dyDescent="0.25">
      <c r="A9" s="1">
        <v>45665</v>
      </c>
      <c r="B9" s="2">
        <v>35100</v>
      </c>
      <c r="C9" s="3">
        <v>1.65</v>
      </c>
      <c r="D9" s="3">
        <v>0.08</v>
      </c>
      <c r="E9" s="4">
        <f t="shared" si="0"/>
        <v>579.15</v>
      </c>
      <c r="F9" s="4">
        <f t="shared" si="1"/>
        <v>28.08</v>
      </c>
      <c r="G9" s="5">
        <v>2</v>
      </c>
      <c r="H9" s="5">
        <v>3</v>
      </c>
      <c r="I9" s="5">
        <v>4</v>
      </c>
      <c r="J9" s="5">
        <v>6</v>
      </c>
      <c r="K9" s="5"/>
      <c r="L9" s="5"/>
      <c r="M9" s="5">
        <v>9</v>
      </c>
      <c r="N9" s="5">
        <f t="shared" si="3"/>
        <v>24</v>
      </c>
    </row>
    <row r="10" spans="1:14" x14ac:dyDescent="0.25">
      <c r="A10" s="1">
        <v>45666</v>
      </c>
      <c r="B10" s="2">
        <v>13449</v>
      </c>
      <c r="C10" s="3">
        <v>1.65</v>
      </c>
      <c r="D10" s="3">
        <v>0.08</v>
      </c>
      <c r="E10" s="4">
        <f>+C10*B10/100</f>
        <v>221.90849999999998</v>
      </c>
      <c r="F10" s="4">
        <f t="shared" si="1"/>
        <v>10.7592</v>
      </c>
      <c r="G10" s="5">
        <v>1</v>
      </c>
      <c r="H10" s="5">
        <v>0</v>
      </c>
      <c r="I10" s="5">
        <v>0</v>
      </c>
      <c r="J10" s="5">
        <v>0</v>
      </c>
      <c r="K10" s="5"/>
      <c r="L10" s="5"/>
      <c r="M10" s="5">
        <v>0</v>
      </c>
      <c r="N10" s="5">
        <f>+SUM(G10:M10)</f>
        <v>1</v>
      </c>
    </row>
    <row r="11" spans="1:14" x14ac:dyDescent="0.25">
      <c r="A11" s="1">
        <v>45667</v>
      </c>
      <c r="B11" s="2">
        <v>0</v>
      </c>
      <c r="C11" s="3"/>
      <c r="D11" s="3"/>
      <c r="E11" s="4">
        <f t="shared" si="0"/>
        <v>0</v>
      </c>
      <c r="F11" s="4">
        <f t="shared" si="1"/>
        <v>0</v>
      </c>
      <c r="G11" s="5">
        <v>0</v>
      </c>
      <c r="H11" s="5">
        <v>0</v>
      </c>
      <c r="I11" s="5">
        <v>0</v>
      </c>
      <c r="J11" s="5">
        <v>0</v>
      </c>
      <c r="K11" s="5"/>
      <c r="L11" s="5"/>
      <c r="M11" s="5">
        <v>0</v>
      </c>
      <c r="N11" s="5">
        <f t="shared" si="3"/>
        <v>0</v>
      </c>
    </row>
    <row r="12" spans="1:14" x14ac:dyDescent="0.25">
      <c r="A12" s="1">
        <v>45668</v>
      </c>
      <c r="B12" s="2">
        <v>0</v>
      </c>
      <c r="C12" s="3"/>
      <c r="D12" s="3"/>
      <c r="E12" s="4">
        <f t="shared" si="0"/>
        <v>0</v>
      </c>
      <c r="F12" s="4">
        <f t="shared" si="1"/>
        <v>0</v>
      </c>
      <c r="G12" s="5">
        <v>0</v>
      </c>
      <c r="H12" s="5">
        <v>0</v>
      </c>
      <c r="I12" s="5">
        <v>0</v>
      </c>
      <c r="J12" s="5">
        <v>0</v>
      </c>
      <c r="K12" s="5"/>
      <c r="L12" s="5"/>
      <c r="M12" s="5">
        <v>0</v>
      </c>
      <c r="N12" s="5">
        <f t="shared" si="3"/>
        <v>0</v>
      </c>
    </row>
    <row r="13" spans="1:14" x14ac:dyDescent="0.25">
      <c r="A13" s="1">
        <v>45669</v>
      </c>
      <c r="B13" s="2">
        <v>0</v>
      </c>
      <c r="C13" s="3"/>
      <c r="D13" s="3"/>
      <c r="E13" s="4">
        <f t="shared" si="0"/>
        <v>0</v>
      </c>
      <c r="F13" s="4">
        <f t="shared" si="1"/>
        <v>0</v>
      </c>
      <c r="G13" s="5">
        <v>0</v>
      </c>
      <c r="H13" s="5">
        <v>0</v>
      </c>
      <c r="I13" s="5">
        <v>0</v>
      </c>
      <c r="J13" s="5">
        <v>0</v>
      </c>
      <c r="K13" s="5"/>
      <c r="L13" s="5"/>
      <c r="M13" s="5">
        <v>0</v>
      </c>
      <c r="N13" s="5">
        <f t="shared" si="3"/>
        <v>0</v>
      </c>
    </row>
    <row r="14" spans="1:14" x14ac:dyDescent="0.25">
      <c r="A14" s="1">
        <v>45670</v>
      </c>
      <c r="B14" s="2">
        <v>3200</v>
      </c>
      <c r="C14" s="3">
        <v>1.57</v>
      </c>
      <c r="D14" s="3">
        <v>7.3999999999999996E-2</v>
      </c>
      <c r="E14" s="4">
        <f t="shared" si="0"/>
        <v>50.24</v>
      </c>
      <c r="F14" s="4">
        <f t="shared" si="1"/>
        <v>2.3679999999999999</v>
      </c>
      <c r="G14" s="5">
        <v>0</v>
      </c>
      <c r="H14" s="5">
        <v>0</v>
      </c>
      <c r="I14" s="5">
        <v>4</v>
      </c>
      <c r="J14" s="5">
        <v>0</v>
      </c>
      <c r="K14" s="5"/>
      <c r="L14" s="5"/>
      <c r="M14" s="5">
        <v>0</v>
      </c>
      <c r="N14" s="5">
        <f t="shared" si="3"/>
        <v>4</v>
      </c>
    </row>
    <row r="15" spans="1:14" x14ac:dyDescent="0.25">
      <c r="A15" s="1">
        <v>45671</v>
      </c>
      <c r="B15" s="2">
        <v>4558</v>
      </c>
      <c r="C15" s="3">
        <v>1.57</v>
      </c>
      <c r="D15" s="3">
        <v>7.0000000000000007E-2</v>
      </c>
      <c r="E15" s="4">
        <f t="shared" si="0"/>
        <v>71.560600000000008</v>
      </c>
      <c r="F15" s="4">
        <f t="shared" si="1"/>
        <v>3.1905999999999999</v>
      </c>
      <c r="G15" s="5">
        <v>0</v>
      </c>
      <c r="H15" s="5">
        <v>0</v>
      </c>
      <c r="I15" s="5">
        <v>4</v>
      </c>
      <c r="J15" s="5">
        <v>0</v>
      </c>
      <c r="K15" s="5"/>
      <c r="L15" s="5"/>
      <c r="M15" s="5">
        <v>0</v>
      </c>
      <c r="N15" s="5">
        <f t="shared" si="3"/>
        <v>4</v>
      </c>
    </row>
    <row r="16" spans="1:14" x14ac:dyDescent="0.25">
      <c r="A16" s="1">
        <v>45672</v>
      </c>
      <c r="B16" s="2">
        <v>10344</v>
      </c>
      <c r="C16" s="3">
        <v>1.57</v>
      </c>
      <c r="D16" s="3">
        <v>7.3999999999999996E-2</v>
      </c>
      <c r="E16" s="4">
        <f t="shared" si="0"/>
        <v>162.4008</v>
      </c>
      <c r="F16" s="4">
        <f t="shared" si="1"/>
        <v>7.65456</v>
      </c>
      <c r="G16" s="5">
        <v>0</v>
      </c>
      <c r="H16" s="5">
        <v>0</v>
      </c>
      <c r="I16" s="5">
        <v>4</v>
      </c>
      <c r="J16" s="5">
        <v>0</v>
      </c>
      <c r="K16" s="5"/>
      <c r="L16" s="5"/>
      <c r="M16" s="5">
        <v>0</v>
      </c>
      <c r="N16" s="5">
        <f t="shared" si="3"/>
        <v>4</v>
      </c>
    </row>
    <row r="17" spans="1:14" x14ac:dyDescent="0.25">
      <c r="A17" s="1">
        <v>45673</v>
      </c>
      <c r="B17" s="2">
        <v>22336</v>
      </c>
      <c r="C17" s="3">
        <v>1.57</v>
      </c>
      <c r="D17" s="3">
        <v>7.3999999999999996E-2</v>
      </c>
      <c r="E17" s="4">
        <f t="shared" si="0"/>
        <v>350.67520000000002</v>
      </c>
      <c r="F17" s="4">
        <f t="shared" si="1"/>
        <v>16.528639999999999</v>
      </c>
      <c r="G17" s="5">
        <v>2</v>
      </c>
      <c r="H17" s="5">
        <v>0</v>
      </c>
      <c r="I17" s="5">
        <v>6</v>
      </c>
      <c r="J17" s="5">
        <v>5</v>
      </c>
      <c r="K17" s="5"/>
      <c r="L17" s="5"/>
      <c r="M17" s="5">
        <v>8</v>
      </c>
      <c r="N17" s="5">
        <f t="shared" si="3"/>
        <v>21</v>
      </c>
    </row>
    <row r="18" spans="1:14" x14ac:dyDescent="0.25">
      <c r="A18" s="1">
        <v>45674</v>
      </c>
      <c r="B18" s="2">
        <v>17739</v>
      </c>
      <c r="C18" s="3">
        <v>1.5594210170255947</v>
      </c>
      <c r="D18" s="3">
        <v>8.284474010598715E-2</v>
      </c>
      <c r="E18" s="4">
        <f t="shared" si="0"/>
        <v>276.6256942101702</v>
      </c>
      <c r="F18" s="4">
        <f t="shared" si="1"/>
        <v>14.695828447401061</v>
      </c>
      <c r="G18" s="5">
        <v>2</v>
      </c>
      <c r="H18" s="5">
        <v>0</v>
      </c>
      <c r="I18" s="5">
        <v>6</v>
      </c>
      <c r="J18" s="5">
        <v>5</v>
      </c>
      <c r="K18" s="5"/>
      <c r="L18" s="5"/>
      <c r="M18" s="5">
        <v>8</v>
      </c>
      <c r="N18" s="5">
        <f t="shared" si="3"/>
        <v>21</v>
      </c>
    </row>
    <row r="19" spans="1:14" x14ac:dyDescent="0.25">
      <c r="A19" s="1">
        <v>45675</v>
      </c>
      <c r="B19" s="2">
        <v>23092</v>
      </c>
      <c r="C19" s="3">
        <v>1.5594210170255947</v>
      </c>
      <c r="D19" s="3">
        <v>8.284474010598715E-2</v>
      </c>
      <c r="E19" s="4">
        <f t="shared" si="0"/>
        <v>360.1015012515503</v>
      </c>
      <c r="F19" s="4">
        <f t="shared" si="1"/>
        <v>19.130507385274552</v>
      </c>
      <c r="G19" s="5">
        <v>2</v>
      </c>
      <c r="H19" s="5">
        <v>0</v>
      </c>
      <c r="I19" s="5">
        <v>6</v>
      </c>
      <c r="J19" s="5">
        <v>5</v>
      </c>
      <c r="K19" s="5"/>
      <c r="L19" s="5"/>
      <c r="M19" s="5">
        <v>8</v>
      </c>
      <c r="N19" s="5">
        <f t="shared" si="3"/>
        <v>21</v>
      </c>
    </row>
    <row r="20" spans="1:14" x14ac:dyDescent="0.25">
      <c r="A20" s="1">
        <v>45676</v>
      </c>
      <c r="B20" s="2">
        <v>25006</v>
      </c>
      <c r="C20" s="3">
        <v>1.5594210170255947</v>
      </c>
      <c r="D20" s="3">
        <v>8.284474010598715E-2</v>
      </c>
      <c r="E20" s="4">
        <f t="shared" si="0"/>
        <v>389.94881951742019</v>
      </c>
      <c r="F20" s="4">
        <f t="shared" si="1"/>
        <v>20.716155710903145</v>
      </c>
      <c r="G20" s="5">
        <v>2</v>
      </c>
      <c r="H20" s="5">
        <v>3</v>
      </c>
      <c r="I20" s="5">
        <v>6</v>
      </c>
      <c r="J20" s="5">
        <v>5</v>
      </c>
      <c r="K20" s="5"/>
      <c r="L20" s="5"/>
      <c r="M20" s="5">
        <v>10</v>
      </c>
      <c r="N20" s="5">
        <f t="shared" si="3"/>
        <v>26</v>
      </c>
    </row>
    <row r="21" spans="1:14" x14ac:dyDescent="0.25">
      <c r="A21" s="1">
        <v>45677</v>
      </c>
      <c r="B21" s="2">
        <v>26949</v>
      </c>
      <c r="C21" s="3">
        <v>1.5594210170255947</v>
      </c>
      <c r="D21" s="3">
        <v>8.284474010598715E-2</v>
      </c>
      <c r="E21" s="4">
        <f t="shared" si="0"/>
        <v>420.24836987822755</v>
      </c>
      <c r="F21" s="4">
        <f t="shared" si="1"/>
        <v>22.325829011162476</v>
      </c>
      <c r="G21" s="5">
        <v>3</v>
      </c>
      <c r="H21" s="5">
        <v>3</v>
      </c>
      <c r="I21" s="5">
        <v>6</v>
      </c>
      <c r="J21" s="5">
        <v>5</v>
      </c>
      <c r="K21" s="5"/>
      <c r="L21" s="5"/>
      <c r="M21" s="5">
        <v>10</v>
      </c>
      <c r="N21" s="5">
        <f t="shared" si="3"/>
        <v>27</v>
      </c>
    </row>
    <row r="22" spans="1:14" x14ac:dyDescent="0.25">
      <c r="A22" s="1">
        <v>45678</v>
      </c>
      <c r="B22" s="2">
        <v>28122</v>
      </c>
      <c r="C22" s="3">
        <v>1.5594210170255947</v>
      </c>
      <c r="D22" s="3">
        <v>8.284474010598715E-2</v>
      </c>
      <c r="E22" s="4">
        <f t="shared" si="0"/>
        <v>438.54037840793774</v>
      </c>
      <c r="F22" s="4">
        <f t="shared" si="1"/>
        <v>23.297597812605705</v>
      </c>
      <c r="G22" s="5">
        <v>3</v>
      </c>
      <c r="H22" s="5">
        <v>3</v>
      </c>
      <c r="I22" s="5">
        <v>6</v>
      </c>
      <c r="J22" s="5">
        <v>5</v>
      </c>
      <c r="K22" s="5"/>
      <c r="L22" s="5"/>
      <c r="M22" s="5">
        <v>10</v>
      </c>
      <c r="N22" s="5">
        <f t="shared" si="3"/>
        <v>27</v>
      </c>
    </row>
    <row r="23" spans="1:14" x14ac:dyDescent="0.25">
      <c r="A23" s="1">
        <v>45679</v>
      </c>
      <c r="B23" s="2">
        <v>28753</v>
      </c>
      <c r="C23" s="3">
        <v>1.5594210170255947</v>
      </c>
      <c r="D23" s="3">
        <v>8.284474010598715E-2</v>
      </c>
      <c r="E23" s="4">
        <f t="shared" si="0"/>
        <v>448.38032502536925</v>
      </c>
      <c r="F23" s="4">
        <f t="shared" si="1"/>
        <v>23.820348122674485</v>
      </c>
      <c r="G23" s="5">
        <v>3</v>
      </c>
      <c r="H23" s="5">
        <v>3</v>
      </c>
      <c r="I23" s="5">
        <v>6</v>
      </c>
      <c r="J23" s="5">
        <v>5</v>
      </c>
      <c r="K23" s="5"/>
      <c r="L23" s="5"/>
      <c r="M23" s="5">
        <v>10</v>
      </c>
      <c r="N23" s="5">
        <f t="shared" si="3"/>
        <v>27</v>
      </c>
    </row>
    <row r="24" spans="1:14" x14ac:dyDescent="0.25">
      <c r="A24" s="1">
        <v>45680</v>
      </c>
      <c r="B24" s="2">
        <v>30107</v>
      </c>
      <c r="C24" s="3">
        <v>1.5594210170255947</v>
      </c>
      <c r="D24" s="3">
        <v>8.284474010598715E-2</v>
      </c>
      <c r="E24" s="4">
        <f t="shared" si="0"/>
        <v>469.49488559589577</v>
      </c>
      <c r="F24" s="4">
        <f t="shared" si="1"/>
        <v>24.942065903709548</v>
      </c>
      <c r="G24" s="5">
        <v>3</v>
      </c>
      <c r="H24" s="5">
        <v>3</v>
      </c>
      <c r="I24" s="5">
        <v>6</v>
      </c>
      <c r="J24" s="5">
        <v>5</v>
      </c>
      <c r="K24" s="5"/>
      <c r="L24" s="5"/>
      <c r="M24" s="5">
        <v>10</v>
      </c>
      <c r="N24" s="5">
        <f t="shared" si="3"/>
        <v>27</v>
      </c>
    </row>
    <row r="25" spans="1:14" x14ac:dyDescent="0.25">
      <c r="A25" s="1">
        <v>45681</v>
      </c>
      <c r="B25" s="2">
        <v>35151</v>
      </c>
      <c r="C25" s="3">
        <v>1.5594210170255947</v>
      </c>
      <c r="D25" s="3">
        <v>8.284474010598715E-2</v>
      </c>
      <c r="E25" s="4">
        <f t="shared" si="0"/>
        <v>548.15208169466678</v>
      </c>
      <c r="F25" s="4">
        <f t="shared" si="1"/>
        <v>29.120754594655541</v>
      </c>
      <c r="G25" s="5">
        <v>3</v>
      </c>
      <c r="H25" s="5">
        <v>3</v>
      </c>
      <c r="I25" s="5">
        <v>6</v>
      </c>
      <c r="J25" s="5">
        <v>7</v>
      </c>
      <c r="K25" s="5"/>
      <c r="L25" s="5"/>
      <c r="M25" s="5">
        <v>10</v>
      </c>
      <c r="N25" s="5">
        <f t="shared" si="3"/>
        <v>29</v>
      </c>
    </row>
    <row r="26" spans="1:14" x14ac:dyDescent="0.25">
      <c r="A26" s="1">
        <v>45682</v>
      </c>
      <c r="B26" s="2">
        <v>38814</v>
      </c>
      <c r="C26" s="3">
        <v>1.5594210170255947</v>
      </c>
      <c r="D26" s="3">
        <v>8.284474010598715E-2</v>
      </c>
      <c r="E26" s="4">
        <f t="shared" si="0"/>
        <v>605.27367354831438</v>
      </c>
      <c r="F26" s="4">
        <f t="shared" si="1"/>
        <v>32.155357424737851</v>
      </c>
      <c r="G26" s="5">
        <v>3</v>
      </c>
      <c r="H26" s="5">
        <v>3</v>
      </c>
      <c r="I26" s="5">
        <v>6</v>
      </c>
      <c r="J26" s="5">
        <v>7</v>
      </c>
      <c r="K26" s="5"/>
      <c r="L26" s="5"/>
      <c r="M26" s="5">
        <v>10</v>
      </c>
      <c r="N26" s="5">
        <f t="shared" si="3"/>
        <v>29</v>
      </c>
    </row>
    <row r="27" spans="1:14" x14ac:dyDescent="0.25">
      <c r="A27" s="1">
        <v>45683</v>
      </c>
      <c r="B27" s="2">
        <v>40034</v>
      </c>
      <c r="C27" s="3">
        <v>1.5594210170255947</v>
      </c>
      <c r="D27" s="3">
        <v>8.284474010598715E-2</v>
      </c>
      <c r="E27" s="4">
        <f t="shared" si="0"/>
        <v>624.29860995602655</v>
      </c>
      <c r="F27" s="4">
        <f t="shared" si="1"/>
        <v>33.166063254030895</v>
      </c>
      <c r="G27" s="5">
        <v>2</v>
      </c>
      <c r="H27" s="5">
        <v>3</v>
      </c>
      <c r="I27" s="5">
        <v>6</v>
      </c>
      <c r="J27" s="5">
        <v>7</v>
      </c>
      <c r="K27" s="5"/>
      <c r="L27" s="5"/>
      <c r="M27" s="5">
        <v>10</v>
      </c>
      <c r="N27" s="5">
        <f t="shared" si="3"/>
        <v>28</v>
      </c>
    </row>
    <row r="28" spans="1:14" x14ac:dyDescent="0.25">
      <c r="A28" s="1">
        <v>45684</v>
      </c>
      <c r="B28" s="2">
        <v>39597</v>
      </c>
      <c r="C28" s="3">
        <v>1.5594210170255947</v>
      </c>
      <c r="D28" s="3">
        <v>8.284474010598715E-2</v>
      </c>
      <c r="E28" s="4">
        <f t="shared" si="0"/>
        <v>617.48394011162463</v>
      </c>
      <c r="F28" s="4">
        <f t="shared" si="1"/>
        <v>32.804031739767737</v>
      </c>
      <c r="G28" s="5">
        <v>2</v>
      </c>
      <c r="H28" s="5">
        <v>3</v>
      </c>
      <c r="I28" s="5">
        <v>6</v>
      </c>
      <c r="J28" s="5">
        <v>7</v>
      </c>
      <c r="K28" s="5"/>
      <c r="L28" s="5"/>
      <c r="M28" s="5">
        <v>10</v>
      </c>
      <c r="N28" s="5">
        <f t="shared" si="3"/>
        <v>28</v>
      </c>
    </row>
    <row r="29" spans="1:14" x14ac:dyDescent="0.25">
      <c r="A29" s="1">
        <v>45685</v>
      </c>
      <c r="B29" s="2">
        <v>39827</v>
      </c>
      <c r="C29" s="3">
        <v>1.5594210170255947</v>
      </c>
      <c r="D29" s="3">
        <v>8.284474010598715E-2</v>
      </c>
      <c r="E29" s="4">
        <f t="shared" si="0"/>
        <v>621.07060845078365</v>
      </c>
      <c r="F29" s="4">
        <f t="shared" si="1"/>
        <v>32.9945746420115</v>
      </c>
      <c r="G29" s="5">
        <v>2</v>
      </c>
      <c r="H29" s="5">
        <v>3</v>
      </c>
      <c r="I29" s="5">
        <v>6</v>
      </c>
      <c r="J29" s="5">
        <v>7</v>
      </c>
      <c r="K29" s="5"/>
      <c r="L29" s="5"/>
      <c r="M29" s="5">
        <v>10</v>
      </c>
      <c r="N29" s="5">
        <f t="shared" si="3"/>
        <v>28</v>
      </c>
    </row>
    <row r="30" spans="1:14" x14ac:dyDescent="0.25">
      <c r="A30" s="1">
        <v>45686</v>
      </c>
      <c r="B30" s="2">
        <v>39473</v>
      </c>
      <c r="C30" s="3">
        <v>1.5594210170255947</v>
      </c>
      <c r="D30" s="3">
        <v>8.284474010598715E-2</v>
      </c>
      <c r="E30" s="4">
        <f t="shared" si="0"/>
        <v>615.55025805051298</v>
      </c>
      <c r="F30" s="4">
        <f t="shared" si="1"/>
        <v>32.701304262036302</v>
      </c>
      <c r="G30" s="5">
        <v>2</v>
      </c>
      <c r="H30" s="5">
        <v>3</v>
      </c>
      <c r="I30" s="5">
        <v>6</v>
      </c>
      <c r="J30" s="5">
        <v>7</v>
      </c>
      <c r="K30" s="5"/>
      <c r="L30" s="5"/>
      <c r="M30" s="5">
        <v>10</v>
      </c>
      <c r="N30" s="5">
        <f t="shared" si="3"/>
        <v>28</v>
      </c>
    </row>
    <row r="31" spans="1:14" x14ac:dyDescent="0.25">
      <c r="A31" s="1">
        <v>45687</v>
      </c>
      <c r="B31" s="2">
        <v>39689</v>
      </c>
      <c r="C31" s="3">
        <v>1.5594210170255947</v>
      </c>
      <c r="D31" s="3">
        <v>8.284474010598715E-2</v>
      </c>
      <c r="E31" s="4">
        <f t="shared" si="0"/>
        <v>618.9186074472882</v>
      </c>
      <c r="F31" s="4">
        <f t="shared" si="1"/>
        <v>32.880248900665237</v>
      </c>
      <c r="G31" s="5">
        <v>2</v>
      </c>
      <c r="H31" s="5">
        <v>3</v>
      </c>
      <c r="I31" s="5">
        <v>6</v>
      </c>
      <c r="J31" s="5">
        <v>7</v>
      </c>
      <c r="K31" s="5"/>
      <c r="L31" s="5"/>
      <c r="M31" s="5">
        <v>10</v>
      </c>
      <c r="N31" s="5">
        <f t="shared" si="3"/>
        <v>28</v>
      </c>
    </row>
    <row r="32" spans="1:14" x14ac:dyDescent="0.25">
      <c r="A32" s="1">
        <v>45688</v>
      </c>
      <c r="B32" s="2">
        <v>28510</v>
      </c>
      <c r="C32" s="3">
        <v>1.5594210170255947</v>
      </c>
      <c r="D32" s="3">
        <v>8.284474010598715E-2</v>
      </c>
      <c r="E32" s="4">
        <f t="shared" si="0"/>
        <v>444.59093195399709</v>
      </c>
      <c r="F32" s="4">
        <f t="shared" si="1"/>
        <v>23.619035404216937</v>
      </c>
      <c r="G32" s="5">
        <v>1</v>
      </c>
      <c r="H32" s="5">
        <v>4</v>
      </c>
      <c r="I32" s="5">
        <v>6</v>
      </c>
      <c r="J32" s="5">
        <v>7</v>
      </c>
      <c r="K32" s="5"/>
      <c r="L32" s="5"/>
      <c r="M32" s="5">
        <v>3</v>
      </c>
      <c r="N32" s="5">
        <f t="shared" si="3"/>
        <v>21</v>
      </c>
    </row>
    <row r="33" spans="1:14" x14ac:dyDescent="0.25">
      <c r="A33" s="1">
        <v>45689</v>
      </c>
      <c r="B33" s="2">
        <v>34732</v>
      </c>
      <c r="C33" s="3">
        <v>1.5594210170255947</v>
      </c>
      <c r="D33" s="3">
        <v>8.284474010598715E-2</v>
      </c>
      <c r="E33" s="4">
        <f t="shared" si="0"/>
        <v>541.6181076333296</v>
      </c>
      <c r="F33" s="4">
        <f t="shared" si="1"/>
        <v>28.773635133611457</v>
      </c>
      <c r="G33" s="5">
        <v>1</v>
      </c>
      <c r="H33" s="5">
        <v>4</v>
      </c>
      <c r="I33" s="5">
        <v>5</v>
      </c>
      <c r="J33" s="5">
        <v>6</v>
      </c>
      <c r="K33" s="5"/>
      <c r="L33" s="5"/>
      <c r="M33" s="5">
        <v>7</v>
      </c>
      <c r="N33" s="5">
        <f t="shared" si="3"/>
        <v>23</v>
      </c>
    </row>
    <row r="34" spans="1:14" x14ac:dyDescent="0.25">
      <c r="A34" s="1">
        <v>45690</v>
      </c>
      <c r="B34" s="2">
        <v>6045</v>
      </c>
      <c r="C34" s="3">
        <v>1.6310884166181223</v>
      </c>
      <c r="D34" s="3">
        <v>8.6740496950280979E-2</v>
      </c>
      <c r="E34" s="4">
        <f t="shared" si="0"/>
        <v>98.599294784565501</v>
      </c>
      <c r="F34" s="4">
        <f t="shared" si="1"/>
        <v>5.2434630406444853</v>
      </c>
      <c r="G34" s="5">
        <v>1</v>
      </c>
      <c r="H34" s="5">
        <v>4</v>
      </c>
      <c r="I34" s="5">
        <v>5</v>
      </c>
      <c r="J34" s="5">
        <v>4</v>
      </c>
      <c r="K34" s="5"/>
      <c r="L34" s="5"/>
      <c r="M34" s="5">
        <v>0</v>
      </c>
      <c r="N34" s="5">
        <f t="shared" si="3"/>
        <v>14</v>
      </c>
    </row>
    <row r="35" spans="1:14" x14ac:dyDescent="0.25">
      <c r="A35" s="1">
        <v>45691</v>
      </c>
      <c r="B35" s="2">
        <v>32906</v>
      </c>
      <c r="C35" s="3">
        <v>1.6310884166181223</v>
      </c>
      <c r="D35" s="3">
        <v>8.6740496950280979E-2</v>
      </c>
      <c r="E35" s="4">
        <f t="shared" si="0"/>
        <v>536.7259543723593</v>
      </c>
      <c r="F35" s="4">
        <f t="shared" si="1"/>
        <v>28.542827926459459</v>
      </c>
      <c r="G35" s="5">
        <v>0</v>
      </c>
      <c r="H35" s="5">
        <v>4</v>
      </c>
      <c r="I35" s="5">
        <v>5</v>
      </c>
      <c r="J35" s="5">
        <v>6</v>
      </c>
      <c r="K35" s="5"/>
      <c r="L35" s="5"/>
      <c r="M35" s="5">
        <v>10</v>
      </c>
      <c r="N35" s="5">
        <f t="shared" si="3"/>
        <v>25</v>
      </c>
    </row>
    <row r="36" spans="1:14" x14ac:dyDescent="0.25">
      <c r="A36" s="1">
        <v>45692</v>
      </c>
      <c r="B36" s="2">
        <v>35642</v>
      </c>
      <c r="C36" s="3">
        <v>1.63</v>
      </c>
      <c r="D36" s="3">
        <v>0.09</v>
      </c>
      <c r="E36" s="4">
        <f t="shared" si="0"/>
        <v>580.96460000000002</v>
      </c>
      <c r="F36" s="4">
        <f t="shared" si="1"/>
        <v>32.077799999999996</v>
      </c>
      <c r="G36" s="5">
        <v>0</v>
      </c>
      <c r="H36" s="5">
        <v>4</v>
      </c>
      <c r="I36" s="5">
        <v>5</v>
      </c>
      <c r="J36" s="5">
        <v>6</v>
      </c>
      <c r="K36" s="5"/>
      <c r="L36" s="5"/>
      <c r="M36" s="5">
        <v>10</v>
      </c>
      <c r="N36" s="5">
        <f t="shared" si="3"/>
        <v>25</v>
      </c>
    </row>
    <row r="37" spans="1:14" x14ac:dyDescent="0.25">
      <c r="A37" s="1">
        <v>45693</v>
      </c>
      <c r="B37" s="2">
        <v>40960</v>
      </c>
      <c r="C37" s="3">
        <v>1.6310884166181223</v>
      </c>
      <c r="D37" s="3">
        <v>8.6740496950280979E-2</v>
      </c>
      <c r="E37" s="4">
        <f t="shared" si="0"/>
        <v>668.09381544678297</v>
      </c>
      <c r="F37" s="4">
        <f t="shared" si="1"/>
        <v>35.528907550835086</v>
      </c>
      <c r="G37" s="5">
        <v>1</v>
      </c>
      <c r="H37" s="5">
        <v>4</v>
      </c>
      <c r="I37" s="5">
        <v>6</v>
      </c>
      <c r="J37" s="5">
        <v>7</v>
      </c>
      <c r="K37" s="5"/>
      <c r="L37" s="5"/>
      <c r="M37" s="5">
        <v>10</v>
      </c>
      <c r="N37" s="5">
        <f t="shared" si="3"/>
        <v>28</v>
      </c>
    </row>
    <row r="38" spans="1:14" x14ac:dyDescent="0.25">
      <c r="A38" s="1">
        <v>45694</v>
      </c>
      <c r="B38" s="2">
        <v>41367</v>
      </c>
      <c r="C38" s="3">
        <v>1.6310884166181223</v>
      </c>
      <c r="D38" s="3">
        <v>8.6740496950280979E-2</v>
      </c>
      <c r="E38" s="4">
        <f t="shared" si="0"/>
        <v>674.73234530241871</v>
      </c>
      <c r="F38" s="4">
        <f t="shared" si="1"/>
        <v>35.881941373422734</v>
      </c>
      <c r="G38" s="5">
        <v>3</v>
      </c>
      <c r="H38" s="5">
        <v>4</v>
      </c>
      <c r="I38" s="5">
        <v>6</v>
      </c>
      <c r="J38" s="5">
        <v>7</v>
      </c>
      <c r="K38" s="5"/>
      <c r="L38" s="5"/>
      <c r="M38" s="5">
        <v>10</v>
      </c>
      <c r="N38" s="5">
        <f t="shared" si="3"/>
        <v>30</v>
      </c>
    </row>
    <row r="39" spans="1:14" x14ac:dyDescent="0.25">
      <c r="A39" s="1">
        <v>45695</v>
      </c>
      <c r="B39" s="2">
        <v>37016</v>
      </c>
      <c r="C39" s="3">
        <v>1.6310884166181223</v>
      </c>
      <c r="D39" s="3">
        <v>8.6740496950280979E-2</v>
      </c>
      <c r="E39" s="4">
        <f t="shared" si="0"/>
        <v>603.7636882953642</v>
      </c>
      <c r="F39" s="4">
        <f t="shared" si="1"/>
        <v>32.107862351116012</v>
      </c>
      <c r="G39" s="5">
        <v>3</v>
      </c>
      <c r="H39" s="5">
        <v>4</v>
      </c>
      <c r="I39" s="5">
        <v>6</v>
      </c>
      <c r="J39" s="5">
        <v>7</v>
      </c>
      <c r="K39" s="5"/>
      <c r="L39" s="5"/>
      <c r="M39" s="5">
        <v>10</v>
      </c>
      <c r="N39" s="5">
        <f t="shared" si="3"/>
        <v>30</v>
      </c>
    </row>
    <row r="40" spans="1:14" x14ac:dyDescent="0.25">
      <c r="A40" s="1">
        <v>45696</v>
      </c>
      <c r="B40" s="2">
        <v>40537</v>
      </c>
      <c r="C40" s="3">
        <v>1.6310884166181223</v>
      </c>
      <c r="D40" s="3">
        <v>8.6740496950280979E-2</v>
      </c>
      <c r="E40" s="4">
        <f t="shared" si="0"/>
        <v>661.19431144448822</v>
      </c>
      <c r="F40" s="4">
        <f t="shared" si="1"/>
        <v>35.161995248735401</v>
      </c>
      <c r="G40" s="5">
        <v>3</v>
      </c>
      <c r="H40" s="5">
        <v>4</v>
      </c>
      <c r="I40" s="5">
        <v>6</v>
      </c>
      <c r="J40" s="5">
        <v>7</v>
      </c>
      <c r="K40" s="5"/>
      <c r="L40" s="5"/>
      <c r="M40" s="5">
        <v>10</v>
      </c>
      <c r="N40" s="5">
        <f t="shared" si="3"/>
        <v>30</v>
      </c>
    </row>
    <row r="41" spans="1:14" x14ac:dyDescent="0.25">
      <c r="A41" s="1">
        <v>45697</v>
      </c>
      <c r="B41" s="2">
        <v>41168</v>
      </c>
      <c r="C41" s="3">
        <v>1.6310884166181223</v>
      </c>
      <c r="D41" s="3">
        <v>8.6740496950280979E-2</v>
      </c>
      <c r="E41" s="4">
        <f t="shared" si="0"/>
        <v>671.4864793533485</v>
      </c>
      <c r="F41" s="4">
        <f t="shared" si="1"/>
        <v>35.709327784491677</v>
      </c>
      <c r="G41" s="5">
        <v>3</v>
      </c>
      <c r="H41" s="5">
        <v>4</v>
      </c>
      <c r="I41" s="5">
        <v>6</v>
      </c>
      <c r="J41" s="5">
        <v>7</v>
      </c>
      <c r="K41" s="5"/>
      <c r="L41" s="5"/>
      <c r="M41" s="5">
        <v>10</v>
      </c>
      <c r="N41" s="5">
        <f t="shared" si="3"/>
        <v>30</v>
      </c>
    </row>
    <row r="42" spans="1:14" x14ac:dyDescent="0.25">
      <c r="A42" s="1">
        <v>45698</v>
      </c>
      <c r="B42" s="2">
        <v>35740</v>
      </c>
      <c r="C42" s="3">
        <v>1.6310884166181223</v>
      </c>
      <c r="D42" s="3">
        <v>8.6740496950280979E-2</v>
      </c>
      <c r="E42" s="4">
        <f t="shared" si="0"/>
        <v>582.95100009931684</v>
      </c>
      <c r="F42" s="4">
        <f t="shared" si="1"/>
        <v>31.001053610030421</v>
      </c>
      <c r="G42" s="5">
        <v>3</v>
      </c>
      <c r="H42" s="5">
        <v>4</v>
      </c>
      <c r="I42" s="5">
        <v>6</v>
      </c>
      <c r="J42" s="5">
        <v>7</v>
      </c>
      <c r="K42" s="5"/>
      <c r="L42" s="5"/>
      <c r="M42" s="5">
        <v>10</v>
      </c>
      <c r="N42" s="5">
        <f t="shared" si="3"/>
        <v>30</v>
      </c>
    </row>
    <row r="43" spans="1:14" x14ac:dyDescent="0.25">
      <c r="A43" s="1">
        <v>45699</v>
      </c>
      <c r="B43" s="2">
        <v>35343</v>
      </c>
      <c r="C43" s="3">
        <v>1.6310884166181223</v>
      </c>
      <c r="D43" s="3">
        <v>8.6740496950280979E-2</v>
      </c>
      <c r="E43" s="4">
        <f t="shared" si="0"/>
        <v>576.47557908534293</v>
      </c>
      <c r="F43" s="4">
        <f t="shared" si="1"/>
        <v>30.656693837137805</v>
      </c>
      <c r="G43" s="5">
        <v>3</v>
      </c>
      <c r="H43" s="5">
        <v>4</v>
      </c>
      <c r="I43" s="5">
        <v>6</v>
      </c>
      <c r="J43" s="5">
        <v>7</v>
      </c>
      <c r="K43" s="5"/>
      <c r="L43" s="5"/>
      <c r="M43" s="5">
        <v>10</v>
      </c>
      <c r="N43" s="5">
        <f t="shared" si="3"/>
        <v>30</v>
      </c>
    </row>
    <row r="44" spans="1:14" x14ac:dyDescent="0.25">
      <c r="A44" s="1">
        <v>45700</v>
      </c>
      <c r="B44" s="2">
        <v>34926</v>
      </c>
      <c r="C44" s="3">
        <v>1.6310884166181223</v>
      </c>
      <c r="D44" s="3">
        <v>8.6740496950280979E-2</v>
      </c>
      <c r="E44" s="4">
        <f t="shared" si="0"/>
        <v>569.67394038804537</v>
      </c>
      <c r="F44" s="4">
        <f t="shared" si="1"/>
        <v>30.294985964855137</v>
      </c>
      <c r="G44" s="5">
        <v>3</v>
      </c>
      <c r="H44" s="5">
        <v>4</v>
      </c>
      <c r="I44" s="5">
        <v>6</v>
      </c>
      <c r="J44" s="5">
        <v>7</v>
      </c>
      <c r="K44" s="5"/>
      <c r="L44" s="5"/>
      <c r="M44" s="5">
        <v>10</v>
      </c>
      <c r="N44" s="5">
        <f t="shared" si="3"/>
        <v>30</v>
      </c>
    </row>
    <row r="45" spans="1:14" x14ac:dyDescent="0.25">
      <c r="A45" s="1">
        <v>45701</v>
      </c>
      <c r="B45" s="2">
        <v>34494</v>
      </c>
      <c r="C45" s="3">
        <v>1.6310884166181223</v>
      </c>
      <c r="D45" s="3">
        <v>8.6740496950280979E-2</v>
      </c>
      <c r="E45" s="4">
        <f t="shared" si="0"/>
        <v>562.62763842825507</v>
      </c>
      <c r="F45" s="4">
        <f t="shared" si="1"/>
        <v>29.920267018029922</v>
      </c>
      <c r="G45" s="5">
        <v>3</v>
      </c>
      <c r="H45" s="5">
        <v>4</v>
      </c>
      <c r="I45" s="5">
        <v>6</v>
      </c>
      <c r="J45" s="5">
        <v>7</v>
      </c>
      <c r="K45" s="5"/>
      <c r="L45" s="5"/>
      <c r="M45" s="5">
        <v>10</v>
      </c>
      <c r="N45" s="5">
        <f t="shared" si="3"/>
        <v>30</v>
      </c>
    </row>
    <row r="46" spans="1:14" x14ac:dyDescent="0.25">
      <c r="A46" s="1">
        <v>45702</v>
      </c>
      <c r="B46" s="2">
        <v>39408</v>
      </c>
      <c r="C46" s="3">
        <v>1.6310884166181223</v>
      </c>
      <c r="D46" s="3">
        <v>8.6740496950280979E-2</v>
      </c>
      <c r="E46" s="4">
        <f t="shared" si="0"/>
        <v>642.77932322086963</v>
      </c>
      <c r="F46" s="4">
        <f t="shared" si="1"/>
        <v>34.182695038166727</v>
      </c>
      <c r="G46" s="5">
        <v>3</v>
      </c>
      <c r="H46" s="5">
        <v>4</v>
      </c>
      <c r="I46" s="5">
        <v>6</v>
      </c>
      <c r="J46" s="5">
        <v>7</v>
      </c>
      <c r="K46" s="5"/>
      <c r="L46" s="5"/>
      <c r="M46" s="5">
        <v>10</v>
      </c>
      <c r="N46" s="5">
        <f t="shared" si="3"/>
        <v>30</v>
      </c>
    </row>
    <row r="47" spans="1:14" x14ac:dyDescent="0.25">
      <c r="A47" s="1">
        <v>45703</v>
      </c>
      <c r="B47" s="2">
        <v>40767</v>
      </c>
      <c r="C47" s="3">
        <v>1.6310884166181223</v>
      </c>
      <c r="D47" s="3">
        <v>8.6740496950280979E-2</v>
      </c>
      <c r="E47" s="4">
        <f t="shared" si="0"/>
        <v>664.94581480270995</v>
      </c>
      <c r="F47" s="4">
        <f t="shared" si="1"/>
        <v>35.361498391721049</v>
      </c>
      <c r="G47" s="5">
        <v>3</v>
      </c>
      <c r="H47" s="5">
        <v>4</v>
      </c>
      <c r="I47" s="5">
        <v>6</v>
      </c>
      <c r="J47" s="5">
        <v>7</v>
      </c>
      <c r="K47" s="5"/>
      <c r="L47" s="5"/>
      <c r="M47" s="5">
        <v>10</v>
      </c>
      <c r="N47" s="5">
        <f t="shared" si="3"/>
        <v>30</v>
      </c>
    </row>
    <row r="48" spans="1:14" x14ac:dyDescent="0.25">
      <c r="A48" s="1">
        <v>45704</v>
      </c>
      <c r="B48" s="2">
        <v>40819</v>
      </c>
      <c r="C48" s="3">
        <v>1.6310884166181223</v>
      </c>
      <c r="D48" s="3">
        <v>8.6740496950280979E-2</v>
      </c>
      <c r="E48" s="4">
        <f t="shared" si="0"/>
        <v>665.79398077935139</v>
      </c>
      <c r="F48" s="4">
        <f t="shared" si="1"/>
        <v>35.406603450135194</v>
      </c>
      <c r="G48" s="5">
        <v>3</v>
      </c>
      <c r="H48" s="5">
        <v>4</v>
      </c>
      <c r="I48" s="5">
        <v>6</v>
      </c>
      <c r="J48" s="5">
        <v>7</v>
      </c>
      <c r="K48" s="5"/>
      <c r="L48" s="5"/>
      <c r="M48" s="5">
        <v>10</v>
      </c>
      <c r="N48" s="5">
        <f t="shared" si="3"/>
        <v>30</v>
      </c>
    </row>
    <row r="49" spans="1:14" x14ac:dyDescent="0.25">
      <c r="A49" s="1">
        <v>45705</v>
      </c>
      <c r="B49" s="2">
        <v>39925</v>
      </c>
      <c r="C49" s="3">
        <v>1.6310884166181223</v>
      </c>
      <c r="D49" s="3">
        <v>8.6740496950280979E-2</v>
      </c>
      <c r="E49" s="4">
        <f t="shared" si="0"/>
        <v>651.21205033478532</v>
      </c>
      <c r="F49" s="4">
        <f t="shared" si="1"/>
        <v>34.631143407399684</v>
      </c>
      <c r="G49" s="5">
        <v>3</v>
      </c>
      <c r="H49" s="5">
        <v>4</v>
      </c>
      <c r="I49" s="5">
        <v>6</v>
      </c>
      <c r="J49" s="5">
        <v>7</v>
      </c>
      <c r="K49" s="5"/>
      <c r="L49" s="5"/>
      <c r="M49" s="5">
        <v>10</v>
      </c>
      <c r="N49" s="5">
        <f t="shared" si="3"/>
        <v>30</v>
      </c>
    </row>
    <row r="50" spans="1:14" x14ac:dyDescent="0.25">
      <c r="A50" s="1">
        <v>45706</v>
      </c>
      <c r="B50" s="2">
        <v>40692</v>
      </c>
      <c r="C50" s="3">
        <v>1.6310884166181223</v>
      </c>
      <c r="D50" s="3">
        <v>8.6740496950280979E-2</v>
      </c>
      <c r="E50" s="4">
        <f t="shared" si="0"/>
        <v>663.72249849024638</v>
      </c>
      <c r="F50" s="4">
        <f t="shared" si="1"/>
        <v>35.296443019008336</v>
      </c>
      <c r="G50" s="5">
        <v>3</v>
      </c>
      <c r="H50" s="5">
        <v>4</v>
      </c>
      <c r="I50" s="5">
        <v>6</v>
      </c>
      <c r="J50" s="5">
        <v>7</v>
      </c>
      <c r="K50" s="5"/>
      <c r="L50" s="5"/>
      <c r="M50" s="5">
        <v>10</v>
      </c>
      <c r="N50" s="5">
        <f t="shared" si="3"/>
        <v>30</v>
      </c>
    </row>
    <row r="51" spans="1:14" x14ac:dyDescent="0.25">
      <c r="A51" s="1">
        <v>45707</v>
      </c>
      <c r="B51" s="2">
        <v>38310</v>
      </c>
      <c r="C51" s="3">
        <v>1.6310884166181223</v>
      </c>
      <c r="D51" s="3">
        <v>8.6740496950280979E-2</v>
      </c>
      <c r="E51" s="4">
        <f t="shared" si="0"/>
        <v>624.86997240640267</v>
      </c>
      <c r="F51" s="4">
        <f t="shared" si="1"/>
        <v>33.230284381652638</v>
      </c>
      <c r="G51" s="5">
        <v>1</v>
      </c>
      <c r="H51" s="5">
        <v>4</v>
      </c>
      <c r="I51" s="5">
        <v>6</v>
      </c>
      <c r="J51" s="5">
        <v>7</v>
      </c>
      <c r="K51" s="5"/>
      <c r="L51" s="5"/>
      <c r="M51" s="5">
        <v>10</v>
      </c>
      <c r="N51" s="5">
        <f t="shared" si="3"/>
        <v>28</v>
      </c>
    </row>
    <row r="52" spans="1:14" x14ac:dyDescent="0.25">
      <c r="A52" s="1">
        <v>45708</v>
      </c>
      <c r="B52" s="2">
        <v>33306</v>
      </c>
      <c r="C52" s="3">
        <v>1.6310884166181223</v>
      </c>
      <c r="D52" s="3">
        <v>8.6740496950280979E-2</v>
      </c>
      <c r="E52" s="4">
        <f t="shared" si="0"/>
        <v>543.2503080388318</v>
      </c>
      <c r="F52" s="4">
        <f t="shared" si="1"/>
        <v>28.889789914260582</v>
      </c>
      <c r="G52" s="5">
        <v>1</v>
      </c>
      <c r="H52" s="5">
        <v>4</v>
      </c>
      <c r="I52" s="5">
        <v>6</v>
      </c>
      <c r="J52" s="5">
        <v>7</v>
      </c>
      <c r="K52" s="5"/>
      <c r="L52" s="5"/>
      <c r="M52" s="5">
        <v>10</v>
      </c>
      <c r="N52" s="5">
        <f t="shared" si="3"/>
        <v>28</v>
      </c>
    </row>
    <row r="53" spans="1:14" x14ac:dyDescent="0.25">
      <c r="A53" s="1">
        <v>45709</v>
      </c>
      <c r="B53" s="2">
        <v>16907</v>
      </c>
      <c r="C53" s="3">
        <v>1.6310884166181223</v>
      </c>
      <c r="D53" s="3">
        <v>8.6740496950280979E-2</v>
      </c>
      <c r="E53" s="4">
        <f t="shared" si="0"/>
        <v>275.76811859762597</v>
      </c>
      <c r="F53" s="4">
        <f t="shared" si="1"/>
        <v>14.665215819384004</v>
      </c>
      <c r="G53" s="5">
        <v>1</v>
      </c>
      <c r="H53" s="5">
        <v>5</v>
      </c>
      <c r="I53" s="5">
        <v>4</v>
      </c>
      <c r="J53" s="5">
        <v>3</v>
      </c>
      <c r="K53" s="5"/>
      <c r="L53" s="5"/>
      <c r="M53" s="5">
        <v>0</v>
      </c>
      <c r="N53" s="5">
        <f t="shared" si="3"/>
        <v>13</v>
      </c>
    </row>
    <row r="54" spans="1:14" x14ac:dyDescent="0.25">
      <c r="A54" s="1">
        <v>45710</v>
      </c>
      <c r="B54" s="2">
        <v>29301</v>
      </c>
      <c r="C54" s="3">
        <v>1.6310884166181223</v>
      </c>
      <c r="D54" s="3">
        <v>8.6740496950280979E-2</v>
      </c>
      <c r="E54" s="4">
        <f t="shared" si="0"/>
        <v>477.92521695327605</v>
      </c>
      <c r="F54" s="4">
        <f t="shared" si="1"/>
        <v>25.41583301140183</v>
      </c>
      <c r="G54" s="5">
        <v>2</v>
      </c>
      <c r="H54" s="5">
        <v>5</v>
      </c>
      <c r="I54" s="5">
        <v>5</v>
      </c>
      <c r="J54" s="5">
        <v>6</v>
      </c>
      <c r="K54" s="5"/>
      <c r="L54" s="5"/>
      <c r="M54" s="5">
        <v>7</v>
      </c>
      <c r="N54" s="5">
        <f t="shared" si="3"/>
        <v>25</v>
      </c>
    </row>
    <row r="55" spans="1:14" x14ac:dyDescent="0.25">
      <c r="A55" s="1">
        <v>45711</v>
      </c>
      <c r="B55" s="2">
        <v>36535</v>
      </c>
      <c r="C55" s="3">
        <v>1.6310884166181223</v>
      </c>
      <c r="D55" s="3">
        <v>8.6740496950280979E-2</v>
      </c>
      <c r="E55" s="4">
        <f t="shared" si="0"/>
        <v>595.91815301143095</v>
      </c>
      <c r="F55" s="4">
        <f t="shared" si="1"/>
        <v>31.690640560785155</v>
      </c>
      <c r="G55" s="5">
        <v>2</v>
      </c>
      <c r="H55" s="5">
        <v>5</v>
      </c>
      <c r="I55" s="5">
        <v>5</v>
      </c>
      <c r="J55" s="5">
        <v>6</v>
      </c>
      <c r="K55" s="5"/>
      <c r="L55" s="5"/>
      <c r="M55" s="5">
        <v>7</v>
      </c>
      <c r="N55" s="5">
        <f t="shared" si="3"/>
        <v>25</v>
      </c>
    </row>
    <row r="56" spans="1:14" x14ac:dyDescent="0.25">
      <c r="A56" s="1">
        <v>45712</v>
      </c>
      <c r="B56" s="2">
        <v>30961</v>
      </c>
      <c r="C56" s="3">
        <v>1.6310884166181223</v>
      </c>
      <c r="D56" s="3">
        <v>8.6740496950280979E-2</v>
      </c>
      <c r="E56" s="4">
        <f t="shared" si="0"/>
        <v>505.00128466913685</v>
      </c>
      <c r="F56" s="4">
        <f t="shared" si="1"/>
        <v>26.855725260776495</v>
      </c>
      <c r="G56" s="5">
        <v>1</v>
      </c>
      <c r="H56" s="5">
        <v>5</v>
      </c>
      <c r="I56" s="5">
        <v>5</v>
      </c>
      <c r="J56" s="5">
        <v>6</v>
      </c>
      <c r="K56" s="5"/>
      <c r="L56" s="5"/>
      <c r="M56" s="5">
        <v>7</v>
      </c>
      <c r="N56" s="5">
        <f t="shared" si="3"/>
        <v>24</v>
      </c>
    </row>
    <row r="57" spans="1:14" x14ac:dyDescent="0.25">
      <c r="A57" s="1">
        <v>45713</v>
      </c>
      <c r="B57" s="2">
        <v>33687</v>
      </c>
      <c r="C57" s="3">
        <v>1.6310884166181223</v>
      </c>
      <c r="D57" s="3">
        <v>8.6740496950280979E-2</v>
      </c>
      <c r="E57" s="4">
        <f t="shared" si="0"/>
        <v>549.46475490614682</v>
      </c>
      <c r="F57" s="4">
        <f t="shared" si="1"/>
        <v>29.220271207641154</v>
      </c>
      <c r="G57" s="5">
        <v>2</v>
      </c>
      <c r="H57" s="5">
        <v>5</v>
      </c>
      <c r="I57" s="5">
        <v>4</v>
      </c>
      <c r="J57" s="5">
        <v>6</v>
      </c>
      <c r="K57" s="5"/>
      <c r="L57" s="5"/>
      <c r="M57" s="5">
        <v>7</v>
      </c>
      <c r="N57" s="5">
        <f t="shared" si="3"/>
        <v>24</v>
      </c>
    </row>
    <row r="58" spans="1:14" x14ac:dyDescent="0.25">
      <c r="A58" s="1">
        <v>45714</v>
      </c>
      <c r="B58" s="2">
        <v>35835</v>
      </c>
      <c r="C58" s="3">
        <v>1.6310884166181223</v>
      </c>
      <c r="D58" s="3">
        <v>8.6740496950280979E-2</v>
      </c>
      <c r="E58" s="4">
        <f t="shared" si="0"/>
        <v>584.50053409510417</v>
      </c>
      <c r="F58" s="4">
        <f t="shared" si="1"/>
        <v>31.08345708213319</v>
      </c>
      <c r="G58" s="5">
        <v>2</v>
      </c>
      <c r="H58" s="5">
        <v>5</v>
      </c>
      <c r="I58" s="5">
        <v>6</v>
      </c>
      <c r="J58" s="5">
        <v>6</v>
      </c>
      <c r="K58" s="5"/>
      <c r="L58" s="5"/>
      <c r="M58" s="5">
        <v>8</v>
      </c>
      <c r="N58" s="5">
        <f t="shared" si="3"/>
        <v>27</v>
      </c>
    </row>
    <row r="59" spans="1:14" x14ac:dyDescent="0.25">
      <c r="A59" s="1">
        <v>45715</v>
      </c>
      <c r="B59" s="2">
        <v>34716</v>
      </c>
      <c r="C59" s="3">
        <v>1.6310884166181223</v>
      </c>
      <c r="D59" s="3">
        <v>8.6740496950280979E-2</v>
      </c>
      <c r="E59" s="4">
        <f t="shared" si="0"/>
        <v>566.24865471314729</v>
      </c>
      <c r="F59" s="4">
        <f t="shared" si="1"/>
        <v>30.112830921259548</v>
      </c>
      <c r="G59" s="5">
        <v>2</v>
      </c>
      <c r="H59" s="5">
        <v>5</v>
      </c>
      <c r="I59" s="5">
        <v>6</v>
      </c>
      <c r="J59" s="5">
        <v>6</v>
      </c>
      <c r="K59" s="5"/>
      <c r="L59" s="5"/>
      <c r="M59" s="5">
        <v>8</v>
      </c>
      <c r="N59" s="5">
        <f t="shared" si="3"/>
        <v>27</v>
      </c>
    </row>
    <row r="60" spans="1:14" x14ac:dyDescent="0.25">
      <c r="A60" s="6">
        <v>45716</v>
      </c>
      <c r="B60" s="7">
        <v>34716</v>
      </c>
      <c r="C60" s="8">
        <v>1.6310884166181223</v>
      </c>
      <c r="D60" s="8">
        <v>8.6740496950280979E-2</v>
      </c>
      <c r="E60" s="9">
        <f t="shared" si="0"/>
        <v>566.24865471314729</v>
      </c>
      <c r="F60" s="9">
        <f t="shared" si="1"/>
        <v>30.112830921259548</v>
      </c>
      <c r="G60" s="10">
        <v>2</v>
      </c>
      <c r="H60" s="10">
        <v>5</v>
      </c>
      <c r="I60" s="10">
        <v>6</v>
      </c>
      <c r="J60" s="10">
        <v>6</v>
      </c>
      <c r="K60" s="10"/>
      <c r="L60" s="10"/>
      <c r="M60" s="10">
        <v>8</v>
      </c>
      <c r="N60" s="10">
        <f t="shared" si="3"/>
        <v>27</v>
      </c>
    </row>
    <row r="61" spans="1:14" x14ac:dyDescent="0.25">
      <c r="A61" s="1">
        <v>45717</v>
      </c>
      <c r="B61" s="2">
        <v>35617</v>
      </c>
      <c r="C61" s="3">
        <v>1.6310884166181223</v>
      </c>
      <c r="D61" s="3">
        <v>8.6740496950280979E-2</v>
      </c>
      <c r="E61" s="4">
        <f t="shared" si="0"/>
        <v>580.94476134687659</v>
      </c>
      <c r="F61" s="4">
        <f t="shared" si="1"/>
        <v>30.894362798781575</v>
      </c>
      <c r="G61" s="5">
        <v>2</v>
      </c>
      <c r="H61" s="5">
        <v>5</v>
      </c>
      <c r="I61" s="5">
        <v>6</v>
      </c>
      <c r="J61" s="5">
        <v>6</v>
      </c>
      <c r="K61" s="5"/>
      <c r="L61" s="5"/>
      <c r="M61" s="5">
        <v>8</v>
      </c>
      <c r="N61" s="5">
        <f t="shared" si="3"/>
        <v>27</v>
      </c>
    </row>
    <row r="62" spans="1:14" x14ac:dyDescent="0.25">
      <c r="A62" s="11">
        <v>45718</v>
      </c>
      <c r="B62" s="12">
        <v>31069</v>
      </c>
      <c r="C62" s="13">
        <v>1.6310884166181223</v>
      </c>
      <c r="D62" s="13">
        <v>8.6740496950280979E-2</v>
      </c>
      <c r="E62" s="14">
        <f t="shared" si="0"/>
        <v>506.76286015908443</v>
      </c>
      <c r="F62" s="14">
        <f t="shared" si="1"/>
        <v>26.949404997482798</v>
      </c>
      <c r="G62" s="15">
        <v>1</v>
      </c>
      <c r="H62" s="15">
        <v>5</v>
      </c>
      <c r="I62" s="15">
        <v>4</v>
      </c>
      <c r="J62" s="15">
        <v>6</v>
      </c>
      <c r="K62" s="15"/>
      <c r="L62" s="15"/>
      <c r="M62" s="15">
        <v>8</v>
      </c>
      <c r="N62" s="5">
        <f t="shared" si="3"/>
        <v>24</v>
      </c>
    </row>
    <row r="63" spans="1:14" x14ac:dyDescent="0.25">
      <c r="A63" s="11">
        <v>45719</v>
      </c>
      <c r="B63" s="12">
        <v>30586</v>
      </c>
      <c r="C63" s="13">
        <v>1.6310884166181223</v>
      </c>
      <c r="D63" s="13">
        <v>8.6740496950280979E-2</v>
      </c>
      <c r="E63" s="14">
        <f t="shared" si="0"/>
        <v>498.8847031068189</v>
      </c>
      <c r="F63" s="14">
        <f t="shared" si="1"/>
        <v>26.53044839721294</v>
      </c>
      <c r="G63" s="15">
        <v>0</v>
      </c>
      <c r="H63" s="15">
        <v>5</v>
      </c>
      <c r="I63" s="15">
        <v>4</v>
      </c>
      <c r="J63" s="15">
        <v>6</v>
      </c>
      <c r="K63" s="15"/>
      <c r="L63" s="15"/>
      <c r="M63" s="15">
        <v>8</v>
      </c>
      <c r="N63" s="5">
        <f t="shared" si="3"/>
        <v>23</v>
      </c>
    </row>
    <row r="64" spans="1:14" x14ac:dyDescent="0.25">
      <c r="A64" s="11">
        <v>45720</v>
      </c>
      <c r="B64" s="12">
        <v>36348</v>
      </c>
      <c r="C64" s="13">
        <v>1.6310884166181223</v>
      </c>
      <c r="D64" s="13">
        <v>8.6740496950280979E-2</v>
      </c>
      <c r="E64" s="14">
        <f t="shared" si="0"/>
        <v>592.86801767235511</v>
      </c>
      <c r="F64" s="14">
        <f t="shared" si="1"/>
        <v>31.528435831488132</v>
      </c>
      <c r="G64" s="15">
        <v>1</v>
      </c>
      <c r="H64" s="15">
        <v>5</v>
      </c>
      <c r="I64" s="15">
        <v>4</v>
      </c>
      <c r="J64" s="15">
        <v>7</v>
      </c>
      <c r="K64" s="15"/>
      <c r="L64" s="15"/>
      <c r="M64" s="15">
        <v>8</v>
      </c>
      <c r="N64" s="5">
        <f t="shared" si="3"/>
        <v>25</v>
      </c>
    </row>
    <row r="65" spans="1:14" x14ac:dyDescent="0.25">
      <c r="A65" s="11">
        <v>45721</v>
      </c>
      <c r="B65" s="12">
        <v>18634</v>
      </c>
      <c r="C65" s="13">
        <v>1.6310884166181223</v>
      </c>
      <c r="D65" s="13">
        <v>8.6740496950280979E-2</v>
      </c>
      <c r="E65" s="14">
        <f t="shared" si="0"/>
        <v>303.93701555262089</v>
      </c>
      <c r="F65" s="14">
        <f t="shared" si="1"/>
        <v>16.163224201715355</v>
      </c>
      <c r="G65" s="15">
        <v>0</v>
      </c>
      <c r="H65" s="15">
        <v>5</v>
      </c>
      <c r="I65" s="15">
        <v>4</v>
      </c>
      <c r="J65" s="15">
        <v>7</v>
      </c>
      <c r="K65" s="15"/>
      <c r="L65" s="15"/>
      <c r="M65" s="15">
        <v>8</v>
      </c>
      <c r="N65" s="5">
        <f t="shared" si="3"/>
        <v>24</v>
      </c>
    </row>
    <row r="66" spans="1:14" x14ac:dyDescent="0.25">
      <c r="A66" s="11">
        <v>45722</v>
      </c>
      <c r="B66" s="12">
        <v>451</v>
      </c>
      <c r="C66" s="13">
        <v>1.6310884166181223</v>
      </c>
      <c r="D66" s="13">
        <v>8.6740496950280979E-2</v>
      </c>
      <c r="E66" s="14">
        <f t="shared" ref="E66:E129" si="4">+C66*B66/100</f>
        <v>7.356208758947731</v>
      </c>
      <c r="F66" s="14">
        <f t="shared" ref="F66:F129" si="5">+D66*B66/100</f>
        <v>0.39119964124576717</v>
      </c>
      <c r="G66" s="15">
        <v>1</v>
      </c>
      <c r="H66" s="15"/>
      <c r="I66" s="15"/>
      <c r="J66" s="15"/>
      <c r="K66" s="15"/>
      <c r="L66" s="15"/>
      <c r="M66" s="15"/>
      <c r="N66" s="5">
        <f t="shared" si="3"/>
        <v>1</v>
      </c>
    </row>
    <row r="67" spans="1:14" x14ac:dyDescent="0.25">
      <c r="A67" s="11">
        <v>45723</v>
      </c>
      <c r="B67" s="12">
        <v>0</v>
      </c>
      <c r="C67" s="13">
        <v>0</v>
      </c>
      <c r="D67" s="13">
        <v>0</v>
      </c>
      <c r="E67" s="14">
        <f t="shared" si="4"/>
        <v>0</v>
      </c>
      <c r="F67" s="14">
        <f t="shared" si="5"/>
        <v>0</v>
      </c>
      <c r="G67" s="15">
        <v>0</v>
      </c>
      <c r="H67" s="15">
        <v>0</v>
      </c>
      <c r="I67" s="15">
        <v>0</v>
      </c>
      <c r="J67" s="15">
        <v>0</v>
      </c>
      <c r="K67" s="15"/>
      <c r="L67" s="15"/>
      <c r="M67" s="15">
        <v>0</v>
      </c>
      <c r="N67" s="5">
        <f t="shared" si="3"/>
        <v>0</v>
      </c>
    </row>
    <row r="68" spans="1:14" x14ac:dyDescent="0.25">
      <c r="A68" s="11">
        <v>45724</v>
      </c>
      <c r="B68" s="12">
        <v>0</v>
      </c>
      <c r="C68" s="13">
        <v>0</v>
      </c>
      <c r="D68" s="13">
        <v>0</v>
      </c>
      <c r="E68" s="14">
        <f t="shared" si="4"/>
        <v>0</v>
      </c>
      <c r="F68" s="14">
        <f t="shared" si="5"/>
        <v>0</v>
      </c>
      <c r="G68" s="15">
        <v>0</v>
      </c>
      <c r="H68" s="15">
        <v>0</v>
      </c>
      <c r="I68" s="15">
        <v>0</v>
      </c>
      <c r="J68" s="15">
        <v>0</v>
      </c>
      <c r="K68" s="15"/>
      <c r="L68" s="15"/>
      <c r="M68" s="15">
        <v>0</v>
      </c>
      <c r="N68" s="5">
        <f t="shared" si="3"/>
        <v>0</v>
      </c>
    </row>
    <row r="69" spans="1:14" x14ac:dyDescent="0.25">
      <c r="A69" s="11">
        <v>45725</v>
      </c>
      <c r="B69" s="12">
        <v>165</v>
      </c>
      <c r="C69" s="13">
        <v>1.63</v>
      </c>
      <c r="D69" s="13">
        <v>0.09</v>
      </c>
      <c r="E69" s="14">
        <f t="shared" si="4"/>
        <v>2.6894999999999998</v>
      </c>
      <c r="F69" s="14">
        <f t="shared" si="5"/>
        <v>0.14849999999999999</v>
      </c>
      <c r="G69" s="15">
        <v>1</v>
      </c>
      <c r="H69" s="15">
        <v>0</v>
      </c>
      <c r="I69" s="15">
        <v>0</v>
      </c>
      <c r="J69" s="15">
        <v>0</v>
      </c>
      <c r="K69" s="15"/>
      <c r="L69" s="15"/>
      <c r="M69" s="15">
        <v>0</v>
      </c>
      <c r="N69" s="5">
        <f t="shared" si="3"/>
        <v>1</v>
      </c>
    </row>
    <row r="70" spans="1:14" x14ac:dyDescent="0.25">
      <c r="A70" s="11">
        <v>45726</v>
      </c>
      <c r="B70" s="12">
        <v>0</v>
      </c>
      <c r="C70" s="13">
        <v>0</v>
      </c>
      <c r="D70" s="13">
        <v>0</v>
      </c>
      <c r="E70" s="14">
        <f t="shared" si="4"/>
        <v>0</v>
      </c>
      <c r="F70" s="14">
        <f t="shared" si="5"/>
        <v>0</v>
      </c>
      <c r="G70" s="15">
        <v>0</v>
      </c>
      <c r="H70" s="15">
        <v>0</v>
      </c>
      <c r="I70" s="15">
        <v>0</v>
      </c>
      <c r="J70" s="15">
        <v>0</v>
      </c>
      <c r="K70" s="15"/>
      <c r="L70" s="15"/>
      <c r="M70" s="15">
        <v>0</v>
      </c>
      <c r="N70" s="5">
        <f t="shared" si="3"/>
        <v>0</v>
      </c>
    </row>
    <row r="71" spans="1:14" x14ac:dyDescent="0.25">
      <c r="A71" s="11">
        <v>45727</v>
      </c>
      <c r="B71" s="12">
        <v>0</v>
      </c>
      <c r="C71" s="13">
        <v>0</v>
      </c>
      <c r="D71" s="13">
        <v>0</v>
      </c>
      <c r="E71" s="14">
        <f t="shared" si="4"/>
        <v>0</v>
      </c>
      <c r="F71" s="14">
        <f t="shared" si="5"/>
        <v>0</v>
      </c>
      <c r="G71" s="15">
        <v>0</v>
      </c>
      <c r="H71" s="15">
        <v>0</v>
      </c>
      <c r="I71" s="15">
        <v>0</v>
      </c>
      <c r="J71" s="15">
        <v>0</v>
      </c>
      <c r="K71" s="15"/>
      <c r="L71" s="15"/>
      <c r="M71" s="15">
        <v>0</v>
      </c>
      <c r="N71" s="5">
        <f t="shared" ref="N71:N123" si="6">+SUM(G71:M71)</f>
        <v>0</v>
      </c>
    </row>
    <row r="72" spans="1:14" x14ac:dyDescent="0.25">
      <c r="A72" s="11">
        <v>45728</v>
      </c>
      <c r="B72" s="12">
        <v>0</v>
      </c>
      <c r="C72" s="13">
        <v>0</v>
      </c>
      <c r="D72" s="13">
        <v>0</v>
      </c>
      <c r="E72" s="14">
        <f t="shared" si="4"/>
        <v>0</v>
      </c>
      <c r="F72" s="14">
        <f t="shared" si="5"/>
        <v>0</v>
      </c>
      <c r="G72" s="15">
        <v>0</v>
      </c>
      <c r="H72" s="15">
        <v>0</v>
      </c>
      <c r="I72" s="15">
        <v>0</v>
      </c>
      <c r="J72" s="15">
        <v>0</v>
      </c>
      <c r="K72" s="15"/>
      <c r="L72" s="15"/>
      <c r="M72" s="15">
        <v>0</v>
      </c>
      <c r="N72" s="5">
        <f t="shared" si="6"/>
        <v>0</v>
      </c>
    </row>
    <row r="73" spans="1:14" x14ac:dyDescent="0.25">
      <c r="A73" s="11">
        <v>45729</v>
      </c>
      <c r="B73" s="12">
        <v>0</v>
      </c>
      <c r="C73" s="13">
        <v>0</v>
      </c>
      <c r="D73" s="13">
        <v>0</v>
      </c>
      <c r="E73" s="14">
        <f t="shared" si="4"/>
        <v>0</v>
      </c>
      <c r="F73" s="14">
        <f t="shared" si="5"/>
        <v>0</v>
      </c>
      <c r="G73" s="15">
        <v>0</v>
      </c>
      <c r="H73" s="15">
        <v>0</v>
      </c>
      <c r="I73" s="15">
        <v>0</v>
      </c>
      <c r="J73" s="15">
        <v>0</v>
      </c>
      <c r="K73" s="15"/>
      <c r="L73" s="15"/>
      <c r="M73" s="15">
        <v>0</v>
      </c>
      <c r="N73" s="5">
        <f t="shared" si="6"/>
        <v>0</v>
      </c>
    </row>
    <row r="74" spans="1:14" x14ac:dyDescent="0.25">
      <c r="A74" s="11">
        <v>45730</v>
      </c>
      <c r="B74" s="12">
        <v>0</v>
      </c>
      <c r="C74" s="13">
        <v>0</v>
      </c>
      <c r="D74" s="13">
        <v>0</v>
      </c>
      <c r="E74" s="14">
        <f t="shared" si="4"/>
        <v>0</v>
      </c>
      <c r="F74" s="14">
        <f t="shared" si="5"/>
        <v>0</v>
      </c>
      <c r="G74" s="15">
        <v>0</v>
      </c>
      <c r="H74" s="15">
        <v>0</v>
      </c>
      <c r="I74" s="15">
        <v>0</v>
      </c>
      <c r="J74" s="15">
        <v>0</v>
      </c>
      <c r="K74" s="15"/>
      <c r="L74" s="15"/>
      <c r="M74" s="15">
        <v>0</v>
      </c>
      <c r="N74" s="5">
        <f t="shared" si="6"/>
        <v>0</v>
      </c>
    </row>
    <row r="75" spans="1:14" x14ac:dyDescent="0.25">
      <c r="A75" s="11">
        <v>45731</v>
      </c>
      <c r="B75" s="12">
        <v>0</v>
      </c>
      <c r="C75" s="13">
        <v>0</v>
      </c>
      <c r="D75" s="13">
        <v>0</v>
      </c>
      <c r="E75" s="14">
        <f t="shared" si="4"/>
        <v>0</v>
      </c>
      <c r="F75" s="14">
        <f t="shared" si="5"/>
        <v>0</v>
      </c>
      <c r="G75" s="15">
        <v>0</v>
      </c>
      <c r="H75" s="15">
        <v>0</v>
      </c>
      <c r="I75" s="15">
        <v>0</v>
      </c>
      <c r="J75" s="15">
        <v>0</v>
      </c>
      <c r="K75" s="15"/>
      <c r="L75" s="15"/>
      <c r="M75" s="15">
        <v>0</v>
      </c>
      <c r="N75" s="5">
        <f t="shared" si="6"/>
        <v>0</v>
      </c>
    </row>
    <row r="76" spans="1:14" x14ac:dyDescent="0.25">
      <c r="A76" s="11">
        <v>45732</v>
      </c>
      <c r="B76" s="12">
        <v>0</v>
      </c>
      <c r="C76" s="13">
        <v>0</v>
      </c>
      <c r="D76" s="13">
        <v>0</v>
      </c>
      <c r="E76" s="14">
        <f t="shared" si="4"/>
        <v>0</v>
      </c>
      <c r="F76" s="14">
        <f t="shared" si="5"/>
        <v>0</v>
      </c>
      <c r="G76" s="15">
        <v>0</v>
      </c>
      <c r="H76" s="15">
        <v>0</v>
      </c>
      <c r="I76" s="15">
        <v>0</v>
      </c>
      <c r="J76" s="15">
        <v>0</v>
      </c>
      <c r="K76" s="15"/>
      <c r="L76" s="15"/>
      <c r="M76" s="15">
        <v>0</v>
      </c>
      <c r="N76" s="5">
        <f t="shared" si="6"/>
        <v>0</v>
      </c>
    </row>
    <row r="77" spans="1:14" x14ac:dyDescent="0.25">
      <c r="A77" s="11">
        <v>45733</v>
      </c>
      <c r="B77" s="12">
        <v>0</v>
      </c>
      <c r="C77" s="13">
        <v>0</v>
      </c>
      <c r="D77" s="13">
        <v>0</v>
      </c>
      <c r="E77" s="14">
        <f t="shared" si="4"/>
        <v>0</v>
      </c>
      <c r="F77" s="14">
        <f t="shared" si="5"/>
        <v>0</v>
      </c>
      <c r="G77" s="15">
        <v>0</v>
      </c>
      <c r="H77" s="15">
        <v>0</v>
      </c>
      <c r="I77" s="15">
        <v>0</v>
      </c>
      <c r="J77" s="15">
        <v>0</v>
      </c>
      <c r="K77" s="15"/>
      <c r="L77" s="15"/>
      <c r="M77" s="15">
        <v>0</v>
      </c>
      <c r="N77" s="5">
        <f t="shared" si="6"/>
        <v>0</v>
      </c>
    </row>
    <row r="78" spans="1:14" x14ac:dyDescent="0.25">
      <c r="A78" s="11">
        <v>45734</v>
      </c>
      <c r="B78" s="12">
        <v>0</v>
      </c>
      <c r="C78" s="13">
        <v>0</v>
      </c>
      <c r="D78" s="13">
        <v>0</v>
      </c>
      <c r="E78" s="14">
        <f t="shared" si="4"/>
        <v>0</v>
      </c>
      <c r="F78" s="14">
        <f t="shared" si="5"/>
        <v>0</v>
      </c>
      <c r="G78" s="15">
        <v>0</v>
      </c>
      <c r="H78" s="15">
        <v>0</v>
      </c>
      <c r="I78" s="15">
        <v>0</v>
      </c>
      <c r="J78" s="15">
        <v>0</v>
      </c>
      <c r="K78" s="15"/>
      <c r="L78" s="15"/>
      <c r="M78" s="15">
        <v>0</v>
      </c>
      <c r="N78" s="5">
        <f t="shared" si="6"/>
        <v>0</v>
      </c>
    </row>
    <row r="79" spans="1:14" x14ac:dyDescent="0.25">
      <c r="A79" s="11">
        <v>45735</v>
      </c>
      <c r="B79" s="12">
        <v>0</v>
      </c>
      <c r="C79" s="13">
        <v>0</v>
      </c>
      <c r="D79" s="13">
        <v>0</v>
      </c>
      <c r="E79" s="14">
        <f t="shared" si="4"/>
        <v>0</v>
      </c>
      <c r="F79" s="14">
        <f t="shared" si="5"/>
        <v>0</v>
      </c>
      <c r="G79" s="15">
        <v>0</v>
      </c>
      <c r="H79" s="15">
        <v>0</v>
      </c>
      <c r="I79" s="15">
        <v>0</v>
      </c>
      <c r="J79" s="15">
        <v>0</v>
      </c>
      <c r="K79" s="15"/>
      <c r="L79" s="15"/>
      <c r="M79" s="15">
        <v>0</v>
      </c>
      <c r="N79" s="5">
        <f t="shared" si="6"/>
        <v>0</v>
      </c>
    </row>
    <row r="80" spans="1:14" x14ac:dyDescent="0.25">
      <c r="A80" s="16">
        <v>45736</v>
      </c>
      <c r="B80" s="17">
        <v>0</v>
      </c>
      <c r="C80" s="18">
        <v>0</v>
      </c>
      <c r="D80" s="18">
        <v>0</v>
      </c>
      <c r="E80" s="19">
        <f t="shared" si="4"/>
        <v>0</v>
      </c>
      <c r="F80" s="19">
        <f t="shared" si="5"/>
        <v>0</v>
      </c>
      <c r="G80" s="20">
        <v>0</v>
      </c>
      <c r="H80" s="20">
        <v>0</v>
      </c>
      <c r="I80" s="20">
        <v>0</v>
      </c>
      <c r="J80" s="20">
        <v>0</v>
      </c>
      <c r="K80" s="20"/>
      <c r="L80" s="20"/>
      <c r="M80" s="20">
        <v>0</v>
      </c>
      <c r="N80" s="21">
        <f t="shared" si="6"/>
        <v>0</v>
      </c>
    </row>
    <row r="81" spans="1:14" x14ac:dyDescent="0.25">
      <c r="A81" s="1">
        <v>45737</v>
      </c>
      <c r="B81" s="2">
        <v>0</v>
      </c>
      <c r="C81" s="3">
        <v>0</v>
      </c>
      <c r="D81" s="3">
        <v>0</v>
      </c>
      <c r="E81" s="4">
        <f t="shared" si="4"/>
        <v>0</v>
      </c>
      <c r="F81" s="4">
        <f t="shared" si="5"/>
        <v>0</v>
      </c>
      <c r="G81" s="5">
        <v>0</v>
      </c>
      <c r="H81" s="5">
        <v>0</v>
      </c>
      <c r="I81" s="5">
        <v>0</v>
      </c>
      <c r="J81" s="5">
        <v>0</v>
      </c>
      <c r="K81" s="5"/>
      <c r="L81" s="5"/>
      <c r="M81" s="5">
        <v>0</v>
      </c>
      <c r="N81" s="5">
        <f t="shared" si="6"/>
        <v>0</v>
      </c>
    </row>
    <row r="82" spans="1:14" x14ac:dyDescent="0.25">
      <c r="A82" s="1">
        <v>45738</v>
      </c>
      <c r="B82" s="2">
        <v>0</v>
      </c>
      <c r="C82" s="3">
        <v>0</v>
      </c>
      <c r="D82" s="3">
        <v>0</v>
      </c>
      <c r="E82" s="4">
        <f>+C82*B82/100</f>
        <v>0</v>
      </c>
      <c r="F82" s="4">
        <f>+D82*B82/100</f>
        <v>0</v>
      </c>
      <c r="G82" s="5">
        <v>0</v>
      </c>
      <c r="H82" s="5">
        <v>0</v>
      </c>
      <c r="I82" s="5">
        <v>0</v>
      </c>
      <c r="J82" s="5">
        <v>0</v>
      </c>
      <c r="K82" s="5"/>
      <c r="L82" s="5"/>
      <c r="M82" s="5">
        <v>0</v>
      </c>
      <c r="N82" s="5">
        <f>+SUM(G82:M82)</f>
        <v>0</v>
      </c>
    </row>
    <row r="83" spans="1:14" x14ac:dyDescent="0.25">
      <c r="A83" s="1">
        <v>45739</v>
      </c>
      <c r="B83" s="2">
        <v>0</v>
      </c>
      <c r="C83" s="3">
        <v>0</v>
      </c>
      <c r="D83" s="3">
        <v>0</v>
      </c>
      <c r="E83" s="4">
        <f t="shared" si="4"/>
        <v>0</v>
      </c>
      <c r="F83" s="4">
        <f t="shared" si="5"/>
        <v>0</v>
      </c>
      <c r="G83" s="5">
        <v>0</v>
      </c>
      <c r="H83" s="5">
        <v>0</v>
      </c>
      <c r="I83" s="5">
        <v>0</v>
      </c>
      <c r="J83" s="5">
        <v>0</v>
      </c>
      <c r="K83" s="5"/>
      <c r="L83" s="5"/>
      <c r="M83" s="5">
        <v>0</v>
      </c>
      <c r="N83" s="5">
        <f t="shared" si="6"/>
        <v>0</v>
      </c>
    </row>
    <row r="84" spans="1:14" x14ac:dyDescent="0.25">
      <c r="A84" s="1">
        <v>45740</v>
      </c>
      <c r="B84" s="2">
        <v>0</v>
      </c>
      <c r="C84" s="3">
        <v>0</v>
      </c>
      <c r="D84" s="3">
        <v>0</v>
      </c>
      <c r="E84" s="4">
        <f t="shared" si="4"/>
        <v>0</v>
      </c>
      <c r="F84" s="4">
        <f t="shared" si="5"/>
        <v>0</v>
      </c>
      <c r="G84" s="5">
        <v>0</v>
      </c>
      <c r="H84" s="5">
        <v>0</v>
      </c>
      <c r="I84" s="5">
        <v>0</v>
      </c>
      <c r="J84" s="5">
        <v>0</v>
      </c>
      <c r="K84" s="5"/>
      <c r="L84" s="5"/>
      <c r="M84" s="5">
        <v>0</v>
      </c>
      <c r="N84" s="5">
        <f t="shared" si="6"/>
        <v>0</v>
      </c>
    </row>
    <row r="85" spans="1:14" x14ac:dyDescent="0.25">
      <c r="A85" s="11">
        <v>45741</v>
      </c>
      <c r="B85" s="12">
        <v>0</v>
      </c>
      <c r="C85" s="13">
        <v>0</v>
      </c>
      <c r="D85" s="13">
        <v>0</v>
      </c>
      <c r="E85" s="14">
        <f t="shared" si="4"/>
        <v>0</v>
      </c>
      <c r="F85" s="14">
        <f t="shared" si="5"/>
        <v>0</v>
      </c>
      <c r="G85" s="15">
        <v>0</v>
      </c>
      <c r="H85" s="15">
        <v>0</v>
      </c>
      <c r="I85" s="15">
        <v>0</v>
      </c>
      <c r="J85" s="15">
        <v>0</v>
      </c>
      <c r="K85" s="15"/>
      <c r="L85" s="15"/>
      <c r="M85" s="15">
        <v>0</v>
      </c>
      <c r="N85" s="15">
        <f t="shared" si="6"/>
        <v>0</v>
      </c>
    </row>
    <row r="86" spans="1:14" x14ac:dyDescent="0.25">
      <c r="A86" s="11">
        <v>45742</v>
      </c>
      <c r="B86" s="12">
        <v>0</v>
      </c>
      <c r="C86" s="13">
        <v>0</v>
      </c>
      <c r="D86" s="13">
        <v>0</v>
      </c>
      <c r="E86" s="14">
        <f t="shared" si="4"/>
        <v>0</v>
      </c>
      <c r="F86" s="14">
        <f t="shared" si="5"/>
        <v>0</v>
      </c>
      <c r="G86" s="15">
        <v>0</v>
      </c>
      <c r="H86" s="15">
        <v>0</v>
      </c>
      <c r="I86" s="15">
        <v>0</v>
      </c>
      <c r="J86" s="15">
        <v>0</v>
      </c>
      <c r="K86" s="15"/>
      <c r="L86" s="15"/>
      <c r="M86" s="15">
        <v>0</v>
      </c>
      <c r="N86" s="15">
        <f t="shared" si="6"/>
        <v>0</v>
      </c>
    </row>
    <row r="87" spans="1:14" x14ac:dyDescent="0.25">
      <c r="A87" s="11">
        <v>45743</v>
      </c>
      <c r="B87" s="12">
        <v>0</v>
      </c>
      <c r="C87" s="13">
        <v>0</v>
      </c>
      <c r="D87" s="13">
        <v>0</v>
      </c>
      <c r="E87" s="14">
        <f t="shared" si="4"/>
        <v>0</v>
      </c>
      <c r="F87" s="14">
        <f t="shared" si="5"/>
        <v>0</v>
      </c>
      <c r="G87" s="15">
        <v>0</v>
      </c>
      <c r="H87" s="15">
        <v>0</v>
      </c>
      <c r="I87" s="15">
        <v>0</v>
      </c>
      <c r="J87" s="15">
        <v>0</v>
      </c>
      <c r="K87" s="15"/>
      <c r="L87" s="15"/>
      <c r="M87" s="15">
        <v>0</v>
      </c>
      <c r="N87" s="15">
        <f t="shared" si="6"/>
        <v>0</v>
      </c>
    </row>
    <row r="88" spans="1:14" x14ac:dyDescent="0.25">
      <c r="A88" s="11">
        <v>45744</v>
      </c>
      <c r="B88" s="12">
        <v>0</v>
      </c>
      <c r="C88" s="13">
        <v>0</v>
      </c>
      <c r="D88" s="13">
        <v>0</v>
      </c>
      <c r="E88" s="14">
        <f t="shared" si="4"/>
        <v>0</v>
      </c>
      <c r="F88" s="14">
        <f t="shared" si="5"/>
        <v>0</v>
      </c>
      <c r="G88" s="15">
        <v>0</v>
      </c>
      <c r="H88" s="15">
        <v>0</v>
      </c>
      <c r="I88" s="15">
        <v>0</v>
      </c>
      <c r="J88" s="15">
        <v>0</v>
      </c>
      <c r="K88" s="15"/>
      <c r="L88" s="15"/>
      <c r="M88" s="15">
        <v>0</v>
      </c>
      <c r="N88" s="15">
        <f t="shared" si="6"/>
        <v>0</v>
      </c>
    </row>
    <row r="89" spans="1:14" x14ac:dyDescent="0.25">
      <c r="A89" s="11">
        <v>45745</v>
      </c>
      <c r="B89" s="12">
        <v>537</v>
      </c>
      <c r="C89" s="13">
        <v>1.56</v>
      </c>
      <c r="D89" s="13">
        <v>0.08</v>
      </c>
      <c r="E89" s="14">
        <f t="shared" si="4"/>
        <v>8.3772000000000002</v>
      </c>
      <c r="F89" s="14">
        <f t="shared" si="5"/>
        <v>0.42959999999999998</v>
      </c>
      <c r="G89" s="15">
        <v>1</v>
      </c>
      <c r="H89" s="15">
        <v>0</v>
      </c>
      <c r="I89" s="15">
        <v>0</v>
      </c>
      <c r="J89" s="15">
        <v>0</v>
      </c>
      <c r="K89" s="15"/>
      <c r="L89" s="15"/>
      <c r="M89" s="15">
        <v>0</v>
      </c>
      <c r="N89" s="15">
        <f t="shared" si="6"/>
        <v>1</v>
      </c>
    </row>
    <row r="90" spans="1:14" x14ac:dyDescent="0.25">
      <c r="A90" s="11">
        <v>45746</v>
      </c>
      <c r="B90" s="12">
        <v>0</v>
      </c>
      <c r="C90" s="13">
        <v>0</v>
      </c>
      <c r="D90" s="13">
        <v>0</v>
      </c>
      <c r="E90" s="14">
        <f t="shared" si="4"/>
        <v>0</v>
      </c>
      <c r="F90" s="14">
        <f t="shared" si="5"/>
        <v>0</v>
      </c>
      <c r="G90" s="15">
        <v>0</v>
      </c>
      <c r="H90" s="15">
        <v>0</v>
      </c>
      <c r="I90" s="15">
        <v>0</v>
      </c>
      <c r="J90" s="15">
        <v>0</v>
      </c>
      <c r="K90" s="15"/>
      <c r="L90" s="15"/>
      <c r="M90" s="15">
        <v>0</v>
      </c>
      <c r="N90" s="15">
        <f t="shared" si="6"/>
        <v>0</v>
      </c>
    </row>
    <row r="91" spans="1:14" x14ac:dyDescent="0.25">
      <c r="A91" s="22">
        <v>45747</v>
      </c>
      <c r="B91" s="23">
        <v>0</v>
      </c>
      <c r="C91" s="24">
        <v>0</v>
      </c>
      <c r="D91" s="24">
        <v>0</v>
      </c>
      <c r="E91" s="25">
        <f t="shared" si="4"/>
        <v>0</v>
      </c>
      <c r="F91" s="25">
        <f t="shared" si="5"/>
        <v>0</v>
      </c>
      <c r="G91" s="26">
        <v>0</v>
      </c>
      <c r="H91" s="26">
        <v>0</v>
      </c>
      <c r="I91" s="26">
        <v>0</v>
      </c>
      <c r="J91" s="26">
        <v>0</v>
      </c>
      <c r="K91" s="26"/>
      <c r="L91" s="26"/>
      <c r="M91" s="26">
        <v>0</v>
      </c>
      <c r="N91" s="26">
        <f t="shared" si="6"/>
        <v>0</v>
      </c>
    </row>
    <row r="92" spans="1:14" x14ac:dyDescent="0.25">
      <c r="A92" s="11">
        <v>45748</v>
      </c>
      <c r="B92" s="12">
        <v>0</v>
      </c>
      <c r="C92" s="13">
        <v>0</v>
      </c>
      <c r="D92" s="13">
        <v>0</v>
      </c>
      <c r="E92" s="14">
        <f t="shared" si="4"/>
        <v>0</v>
      </c>
      <c r="F92" s="14">
        <f t="shared" si="5"/>
        <v>0</v>
      </c>
      <c r="G92" s="15">
        <v>0</v>
      </c>
      <c r="H92" s="15">
        <v>0</v>
      </c>
      <c r="I92" s="15">
        <v>0</v>
      </c>
      <c r="J92" s="15">
        <v>0</v>
      </c>
      <c r="K92" s="15"/>
      <c r="L92" s="15"/>
      <c r="M92" s="15">
        <v>0</v>
      </c>
      <c r="N92" s="15">
        <f t="shared" si="6"/>
        <v>0</v>
      </c>
    </row>
    <row r="93" spans="1:14" x14ac:dyDescent="0.25">
      <c r="A93" s="11">
        <v>45749</v>
      </c>
      <c r="B93" s="12">
        <v>0</v>
      </c>
      <c r="C93" s="13">
        <v>0</v>
      </c>
      <c r="D93" s="13">
        <v>0</v>
      </c>
      <c r="E93" s="14">
        <f t="shared" si="4"/>
        <v>0</v>
      </c>
      <c r="F93" s="14">
        <f t="shared" si="5"/>
        <v>0</v>
      </c>
      <c r="G93" s="15">
        <v>0</v>
      </c>
      <c r="H93" s="15">
        <v>0</v>
      </c>
      <c r="I93" s="15">
        <v>0</v>
      </c>
      <c r="J93" s="15">
        <v>0</v>
      </c>
      <c r="K93" s="15"/>
      <c r="L93" s="15"/>
      <c r="M93" s="15">
        <v>0</v>
      </c>
      <c r="N93" s="15">
        <f t="shared" si="6"/>
        <v>0</v>
      </c>
    </row>
    <row r="94" spans="1:14" x14ac:dyDescent="0.25">
      <c r="A94" s="11">
        <v>45750</v>
      </c>
      <c r="B94" s="12">
        <v>0</v>
      </c>
      <c r="C94" s="13">
        <v>0</v>
      </c>
      <c r="D94" s="13">
        <v>0</v>
      </c>
      <c r="E94" s="14">
        <f t="shared" si="4"/>
        <v>0</v>
      </c>
      <c r="F94" s="14">
        <f t="shared" si="5"/>
        <v>0</v>
      </c>
      <c r="G94" s="15">
        <v>0</v>
      </c>
      <c r="H94" s="15">
        <v>0</v>
      </c>
      <c r="I94" s="15">
        <v>0</v>
      </c>
      <c r="J94" s="15">
        <v>0</v>
      </c>
      <c r="K94" s="15"/>
      <c r="L94" s="15"/>
      <c r="M94" s="15">
        <v>0</v>
      </c>
      <c r="N94" s="15">
        <f t="shared" si="6"/>
        <v>0</v>
      </c>
    </row>
    <row r="95" spans="1:14" x14ac:dyDescent="0.25">
      <c r="A95" s="11">
        <v>45751</v>
      </c>
      <c r="B95" s="12">
        <v>0</v>
      </c>
      <c r="C95" s="13">
        <v>0</v>
      </c>
      <c r="D95" s="13">
        <v>0</v>
      </c>
      <c r="E95" s="14">
        <f t="shared" si="4"/>
        <v>0</v>
      </c>
      <c r="F95" s="14">
        <f t="shared" si="5"/>
        <v>0</v>
      </c>
      <c r="G95" s="15">
        <v>0</v>
      </c>
      <c r="H95" s="15">
        <v>0</v>
      </c>
      <c r="I95" s="15">
        <v>0</v>
      </c>
      <c r="J95" s="15">
        <v>0</v>
      </c>
      <c r="K95" s="15"/>
      <c r="L95" s="15"/>
      <c r="M95" s="15">
        <v>0</v>
      </c>
      <c r="N95" s="15">
        <f t="shared" si="6"/>
        <v>0</v>
      </c>
    </row>
    <row r="96" spans="1:14" x14ac:dyDescent="0.25">
      <c r="A96" s="11">
        <v>45752</v>
      </c>
      <c r="B96" s="12">
        <v>0</v>
      </c>
      <c r="C96" s="13">
        <v>0</v>
      </c>
      <c r="D96" s="13">
        <v>0</v>
      </c>
      <c r="E96" s="14">
        <f t="shared" si="4"/>
        <v>0</v>
      </c>
      <c r="F96" s="14">
        <f t="shared" si="5"/>
        <v>0</v>
      </c>
      <c r="G96" s="15">
        <v>0</v>
      </c>
      <c r="H96" s="15">
        <v>0</v>
      </c>
      <c r="I96" s="15">
        <v>0</v>
      </c>
      <c r="J96" s="15">
        <v>0</v>
      </c>
      <c r="K96" s="15"/>
      <c r="L96" s="15"/>
      <c r="M96" s="15">
        <v>0</v>
      </c>
      <c r="N96" s="15">
        <f t="shared" si="6"/>
        <v>0</v>
      </c>
    </row>
    <row r="97" spans="1:14" x14ac:dyDescent="0.25">
      <c r="A97" s="11">
        <v>45753</v>
      </c>
      <c r="B97" s="12">
        <v>0</v>
      </c>
      <c r="C97" s="13">
        <v>0</v>
      </c>
      <c r="D97" s="13">
        <v>0</v>
      </c>
      <c r="E97" s="14">
        <f t="shared" si="4"/>
        <v>0</v>
      </c>
      <c r="F97" s="14">
        <f t="shared" si="5"/>
        <v>0</v>
      </c>
      <c r="G97" s="15">
        <v>0</v>
      </c>
      <c r="H97" s="15">
        <v>0</v>
      </c>
      <c r="I97" s="15">
        <v>0</v>
      </c>
      <c r="J97" s="15">
        <v>0</v>
      </c>
      <c r="K97" s="15"/>
      <c r="L97" s="15"/>
      <c r="M97" s="15">
        <v>0</v>
      </c>
      <c r="N97" s="15">
        <f t="shared" si="6"/>
        <v>0</v>
      </c>
    </row>
    <row r="98" spans="1:14" x14ac:dyDescent="0.25">
      <c r="A98" s="11">
        <v>45754</v>
      </c>
      <c r="B98" s="12">
        <v>0</v>
      </c>
      <c r="C98" s="13">
        <v>0</v>
      </c>
      <c r="D98" s="13">
        <v>0</v>
      </c>
      <c r="E98" s="14">
        <f t="shared" si="4"/>
        <v>0</v>
      </c>
      <c r="F98" s="14">
        <f t="shared" si="5"/>
        <v>0</v>
      </c>
      <c r="G98" s="15">
        <v>0</v>
      </c>
      <c r="H98" s="15">
        <v>0</v>
      </c>
      <c r="I98" s="15">
        <v>0</v>
      </c>
      <c r="J98" s="15">
        <v>0</v>
      </c>
      <c r="K98" s="15"/>
      <c r="L98" s="15"/>
      <c r="M98" s="15">
        <v>0</v>
      </c>
      <c r="N98" s="15">
        <f t="shared" si="6"/>
        <v>0</v>
      </c>
    </row>
    <row r="99" spans="1:14" x14ac:dyDescent="0.25">
      <c r="A99" s="16">
        <v>45755</v>
      </c>
      <c r="B99" s="17">
        <v>1506</v>
      </c>
      <c r="C99" s="18">
        <v>1.38</v>
      </c>
      <c r="D99" s="18">
        <v>0.09</v>
      </c>
      <c r="E99" s="19">
        <f t="shared" si="4"/>
        <v>20.782799999999998</v>
      </c>
      <c r="F99" s="19">
        <f t="shared" si="5"/>
        <v>1.3553999999999999</v>
      </c>
      <c r="G99" s="20">
        <v>1</v>
      </c>
      <c r="H99" s="20">
        <v>0</v>
      </c>
      <c r="I99" s="20">
        <v>0</v>
      </c>
      <c r="J99" s="20">
        <v>0</v>
      </c>
      <c r="K99" s="20"/>
      <c r="L99" s="20"/>
      <c r="M99" s="20">
        <v>0</v>
      </c>
      <c r="N99" s="20">
        <f t="shared" si="6"/>
        <v>1</v>
      </c>
    </row>
    <row r="100" spans="1:14" x14ac:dyDescent="0.25">
      <c r="A100" s="1">
        <v>45756</v>
      </c>
      <c r="B100" s="2">
        <v>851.15531907574473</v>
      </c>
      <c r="C100" s="3">
        <v>1.38</v>
      </c>
      <c r="D100" s="3">
        <v>0.24</v>
      </c>
      <c r="E100" s="4">
        <f t="shared" si="4"/>
        <v>11.745943403245276</v>
      </c>
      <c r="F100" s="4">
        <f t="shared" si="5"/>
        <v>2.0427727657817871</v>
      </c>
      <c r="G100" s="5">
        <v>1</v>
      </c>
      <c r="H100" s="5">
        <v>0</v>
      </c>
      <c r="I100" s="5">
        <v>0</v>
      </c>
      <c r="J100" s="5">
        <v>0</v>
      </c>
      <c r="K100" s="5"/>
      <c r="L100" s="5"/>
      <c r="M100" s="5">
        <v>0</v>
      </c>
      <c r="N100" s="5">
        <f t="shared" si="6"/>
        <v>1</v>
      </c>
    </row>
    <row r="101" spans="1:14" x14ac:dyDescent="0.25">
      <c r="A101" s="1">
        <v>45757</v>
      </c>
      <c r="B101" s="2">
        <v>681</v>
      </c>
      <c r="C101" s="3">
        <v>1.38</v>
      </c>
      <c r="D101" s="3">
        <v>0.24</v>
      </c>
      <c r="E101" s="4">
        <f t="shared" si="4"/>
        <v>9.3978000000000002</v>
      </c>
      <c r="F101" s="4">
        <f t="shared" si="5"/>
        <v>1.6344000000000001</v>
      </c>
      <c r="G101" s="5">
        <v>1</v>
      </c>
      <c r="H101" s="5">
        <v>0</v>
      </c>
      <c r="I101" s="5">
        <v>0</v>
      </c>
      <c r="J101" s="5">
        <v>0</v>
      </c>
      <c r="K101" s="5"/>
      <c r="L101" s="5"/>
      <c r="M101" s="5">
        <v>0</v>
      </c>
      <c r="N101" s="5">
        <f t="shared" si="6"/>
        <v>1</v>
      </c>
    </row>
    <row r="102" spans="1:14" x14ac:dyDescent="0.25">
      <c r="A102" s="1">
        <v>45758</v>
      </c>
      <c r="B102" s="2">
        <v>435</v>
      </c>
      <c r="C102" s="3">
        <v>1.38</v>
      </c>
      <c r="D102" s="3">
        <v>0.24</v>
      </c>
      <c r="E102" s="4">
        <f t="shared" si="4"/>
        <v>6.0029999999999992</v>
      </c>
      <c r="F102" s="4">
        <f t="shared" si="5"/>
        <v>1.0439999999999998</v>
      </c>
      <c r="G102" s="4">
        <v>1</v>
      </c>
      <c r="H102" s="4">
        <v>0</v>
      </c>
      <c r="I102" s="4">
        <v>0</v>
      </c>
      <c r="J102" s="4">
        <v>0</v>
      </c>
      <c r="K102" s="4"/>
      <c r="L102" s="4"/>
      <c r="M102" s="4">
        <v>0</v>
      </c>
      <c r="N102" s="5">
        <f t="shared" si="6"/>
        <v>1</v>
      </c>
    </row>
    <row r="103" spans="1:14" x14ac:dyDescent="0.25">
      <c r="A103" s="1">
        <v>45759</v>
      </c>
      <c r="B103" s="2"/>
      <c r="C103" s="3"/>
      <c r="D103" s="3"/>
      <c r="E103" s="4">
        <f t="shared" si="4"/>
        <v>0</v>
      </c>
      <c r="F103" s="4">
        <f t="shared" si="5"/>
        <v>0</v>
      </c>
      <c r="G103" s="5">
        <v>0</v>
      </c>
      <c r="H103" s="5">
        <v>0</v>
      </c>
      <c r="I103" s="5">
        <v>0</v>
      </c>
      <c r="J103" s="5">
        <v>0</v>
      </c>
      <c r="K103" s="5"/>
      <c r="L103" s="5"/>
      <c r="M103" s="5">
        <v>0</v>
      </c>
      <c r="N103" s="5">
        <f t="shared" si="6"/>
        <v>0</v>
      </c>
    </row>
    <row r="104" spans="1:14" x14ac:dyDescent="0.25">
      <c r="A104" s="1">
        <v>45760</v>
      </c>
      <c r="B104" s="2">
        <v>904</v>
      </c>
      <c r="C104" s="3">
        <v>1.38</v>
      </c>
      <c r="D104" s="3">
        <v>0.24</v>
      </c>
      <c r="E104" s="4">
        <f t="shared" si="4"/>
        <v>12.475199999999999</v>
      </c>
      <c r="F104" s="4">
        <f t="shared" si="5"/>
        <v>2.1696</v>
      </c>
      <c r="G104" s="5">
        <v>0</v>
      </c>
      <c r="H104" s="5">
        <v>0</v>
      </c>
      <c r="I104" s="5">
        <v>0</v>
      </c>
      <c r="J104" s="5">
        <v>0</v>
      </c>
      <c r="K104" s="5"/>
      <c r="L104" s="5"/>
      <c r="M104" s="5">
        <v>0</v>
      </c>
      <c r="N104" s="5">
        <f t="shared" si="6"/>
        <v>0</v>
      </c>
    </row>
    <row r="105" spans="1:14" x14ac:dyDescent="0.25">
      <c r="A105" s="1">
        <v>45761</v>
      </c>
      <c r="B105" s="2">
        <v>1207</v>
      </c>
      <c r="C105" s="3">
        <v>1.38</v>
      </c>
      <c r="D105" s="3">
        <v>0.24</v>
      </c>
      <c r="E105" s="4">
        <f t="shared" si="4"/>
        <v>16.656599999999997</v>
      </c>
      <c r="F105" s="4">
        <f t="shared" si="5"/>
        <v>2.8968000000000003</v>
      </c>
      <c r="G105" s="5">
        <v>1</v>
      </c>
      <c r="H105" s="5">
        <v>0</v>
      </c>
      <c r="I105" s="5">
        <v>0</v>
      </c>
      <c r="J105" s="5">
        <v>0</v>
      </c>
      <c r="K105" s="5"/>
      <c r="L105" s="5"/>
      <c r="M105" s="5">
        <v>0</v>
      </c>
      <c r="N105" s="5">
        <f t="shared" si="6"/>
        <v>1</v>
      </c>
    </row>
    <row r="106" spans="1:14" x14ac:dyDescent="0.25">
      <c r="A106" s="1">
        <v>45762</v>
      </c>
      <c r="B106" s="2">
        <v>2074.3322337336799</v>
      </c>
      <c r="C106" s="3">
        <v>1.4059999999999999</v>
      </c>
      <c r="D106" s="3">
        <v>0.13500000000000001</v>
      </c>
      <c r="E106" s="4">
        <f t="shared" si="4"/>
        <v>29.165111206295538</v>
      </c>
      <c r="F106" s="4">
        <f t="shared" si="5"/>
        <v>2.8003485155404677</v>
      </c>
      <c r="G106" s="4">
        <v>2</v>
      </c>
      <c r="H106" s="4">
        <v>0</v>
      </c>
      <c r="I106" s="4">
        <v>0</v>
      </c>
      <c r="J106" s="4">
        <v>0</v>
      </c>
      <c r="K106" s="4"/>
      <c r="L106" s="4"/>
      <c r="M106" s="4">
        <v>0</v>
      </c>
      <c r="N106" s="27">
        <f t="shared" si="6"/>
        <v>2</v>
      </c>
    </row>
    <row r="107" spans="1:14" x14ac:dyDescent="0.25">
      <c r="A107" s="1">
        <v>45763</v>
      </c>
      <c r="B107" s="2">
        <v>1260</v>
      </c>
      <c r="C107" s="3">
        <v>1.4059999999999999</v>
      </c>
      <c r="D107" s="3">
        <v>0.13500000000000001</v>
      </c>
      <c r="E107" s="4">
        <f t="shared" si="4"/>
        <v>17.715599999999998</v>
      </c>
      <c r="F107" s="4">
        <f t="shared" si="5"/>
        <v>1.7010000000000003</v>
      </c>
      <c r="G107" s="4">
        <v>2</v>
      </c>
      <c r="H107" s="4">
        <v>0</v>
      </c>
      <c r="I107" s="4">
        <v>0</v>
      </c>
      <c r="J107" s="4">
        <v>0</v>
      </c>
      <c r="K107" s="4"/>
      <c r="L107" s="4"/>
      <c r="M107" s="4">
        <v>0</v>
      </c>
      <c r="N107" s="27">
        <f t="shared" si="6"/>
        <v>2</v>
      </c>
    </row>
    <row r="108" spans="1:14" x14ac:dyDescent="0.25">
      <c r="A108" s="1">
        <v>45764</v>
      </c>
      <c r="B108" s="2">
        <v>1620</v>
      </c>
      <c r="C108" s="3">
        <v>1.4059999999999999</v>
      </c>
      <c r="D108" s="3">
        <v>0.13500000000000001</v>
      </c>
      <c r="E108" s="4">
        <f t="shared" si="4"/>
        <v>22.777199999999997</v>
      </c>
      <c r="F108" s="4">
        <f t="shared" si="5"/>
        <v>2.1870000000000003</v>
      </c>
      <c r="G108" s="4">
        <v>2</v>
      </c>
      <c r="H108" s="4">
        <v>0</v>
      </c>
      <c r="I108" s="4">
        <v>0</v>
      </c>
      <c r="J108" s="4">
        <v>0</v>
      </c>
      <c r="K108" s="4"/>
      <c r="L108" s="4"/>
      <c r="M108" s="4">
        <v>0</v>
      </c>
      <c r="N108" s="27">
        <f t="shared" si="6"/>
        <v>2</v>
      </c>
    </row>
    <row r="109" spans="1:14" x14ac:dyDescent="0.25">
      <c r="A109" s="1">
        <v>45765</v>
      </c>
      <c r="B109" s="2">
        <v>1760</v>
      </c>
      <c r="C109" s="3">
        <v>1.4059999999999999</v>
      </c>
      <c r="D109" s="3">
        <v>0.13500000000000001</v>
      </c>
      <c r="E109" s="4">
        <f t="shared" si="4"/>
        <v>24.7456</v>
      </c>
      <c r="F109" s="4">
        <f t="shared" si="5"/>
        <v>2.3760000000000003</v>
      </c>
      <c r="G109" s="4">
        <v>2</v>
      </c>
      <c r="H109" s="4">
        <v>0</v>
      </c>
      <c r="I109" s="4">
        <v>0</v>
      </c>
      <c r="J109" s="4">
        <v>0</v>
      </c>
      <c r="K109" s="4"/>
      <c r="L109" s="4"/>
      <c r="M109" s="4">
        <v>0</v>
      </c>
      <c r="N109" s="27">
        <f t="shared" si="6"/>
        <v>2</v>
      </c>
    </row>
    <row r="110" spans="1:14" x14ac:dyDescent="0.25">
      <c r="A110" s="1">
        <v>45766</v>
      </c>
      <c r="B110" s="2">
        <v>1622</v>
      </c>
      <c r="C110" s="3">
        <v>1.4059999999999999</v>
      </c>
      <c r="D110" s="3">
        <v>0.13500000000000001</v>
      </c>
      <c r="E110" s="4">
        <f t="shared" si="4"/>
        <v>22.805319999999998</v>
      </c>
      <c r="F110" s="4">
        <f t="shared" si="5"/>
        <v>2.1897000000000002</v>
      </c>
      <c r="G110" s="4">
        <v>2</v>
      </c>
      <c r="H110" s="4">
        <v>0</v>
      </c>
      <c r="I110" s="4">
        <v>0</v>
      </c>
      <c r="J110" s="4">
        <v>0</v>
      </c>
      <c r="K110" s="4"/>
      <c r="L110" s="4"/>
      <c r="M110" s="4">
        <v>0</v>
      </c>
      <c r="N110" s="27">
        <f t="shared" si="6"/>
        <v>2</v>
      </c>
    </row>
    <row r="111" spans="1:14" x14ac:dyDescent="0.25">
      <c r="A111" s="1">
        <v>45767</v>
      </c>
      <c r="B111" s="2">
        <v>1552</v>
      </c>
      <c r="C111" s="3">
        <v>1.4059999999999999</v>
      </c>
      <c r="D111" s="3">
        <v>0.13500000000000001</v>
      </c>
      <c r="E111" s="4">
        <f t="shared" si="4"/>
        <v>21.821120000000001</v>
      </c>
      <c r="F111" s="4">
        <f t="shared" si="5"/>
        <v>2.0952000000000002</v>
      </c>
      <c r="G111" s="4">
        <v>2</v>
      </c>
      <c r="H111" s="4">
        <v>0</v>
      </c>
      <c r="I111" s="4">
        <v>0</v>
      </c>
      <c r="J111" s="4">
        <v>0</v>
      </c>
      <c r="K111" s="4"/>
      <c r="L111" s="4"/>
      <c r="M111" s="4">
        <v>0</v>
      </c>
      <c r="N111" s="27">
        <f t="shared" si="6"/>
        <v>2</v>
      </c>
    </row>
    <row r="112" spans="1:14" x14ac:dyDescent="0.25">
      <c r="A112" s="1">
        <v>45768</v>
      </c>
      <c r="B112" s="2">
        <v>1627</v>
      </c>
      <c r="C112" s="3">
        <v>1.4059999999999999</v>
      </c>
      <c r="D112" s="3">
        <v>0.13500000000000001</v>
      </c>
      <c r="E112" s="4">
        <f t="shared" si="4"/>
        <v>22.875619999999998</v>
      </c>
      <c r="F112" s="4">
        <f t="shared" si="5"/>
        <v>2.19645</v>
      </c>
      <c r="G112" s="4">
        <v>2</v>
      </c>
      <c r="H112" s="4">
        <v>0</v>
      </c>
      <c r="I112" s="4">
        <v>0</v>
      </c>
      <c r="J112" s="4">
        <v>0</v>
      </c>
      <c r="K112" s="4"/>
      <c r="L112" s="4"/>
      <c r="M112" s="4">
        <v>0</v>
      </c>
      <c r="N112" s="27">
        <f t="shared" si="6"/>
        <v>2</v>
      </c>
    </row>
    <row r="113" spans="1:14" x14ac:dyDescent="0.25">
      <c r="A113" s="1">
        <v>45769</v>
      </c>
      <c r="B113" s="2">
        <v>1984</v>
      </c>
      <c r="C113" s="3">
        <v>1.4059999999999999</v>
      </c>
      <c r="D113" s="3">
        <v>0.13500000000000001</v>
      </c>
      <c r="E113" s="4">
        <f t="shared" si="4"/>
        <v>27.895039999999998</v>
      </c>
      <c r="F113" s="4">
        <f t="shared" si="5"/>
        <v>2.6784000000000003</v>
      </c>
      <c r="G113" s="4">
        <v>2</v>
      </c>
      <c r="H113" s="4">
        <v>0</v>
      </c>
      <c r="I113" s="4">
        <v>0</v>
      </c>
      <c r="J113" s="4">
        <v>0</v>
      </c>
      <c r="K113" s="4"/>
      <c r="L113" s="4"/>
      <c r="M113" s="4">
        <v>0</v>
      </c>
      <c r="N113" s="27">
        <f t="shared" si="6"/>
        <v>2</v>
      </c>
    </row>
    <row r="114" spans="1:14" x14ac:dyDescent="0.25">
      <c r="A114" s="1">
        <v>45770</v>
      </c>
      <c r="B114" s="2">
        <v>1526</v>
      </c>
      <c r="C114" s="3">
        <v>1.4059999999999999</v>
      </c>
      <c r="D114" s="3">
        <v>0.13500000000000001</v>
      </c>
      <c r="E114" s="4">
        <f t="shared" si="4"/>
        <v>21.455560000000002</v>
      </c>
      <c r="F114" s="4">
        <f t="shared" si="5"/>
        <v>2.0601000000000003</v>
      </c>
      <c r="G114" s="4">
        <v>2</v>
      </c>
      <c r="H114" s="4">
        <v>0</v>
      </c>
      <c r="I114" s="4">
        <v>0</v>
      </c>
      <c r="J114" s="4">
        <v>0</v>
      </c>
      <c r="K114" s="4"/>
      <c r="L114" s="4"/>
      <c r="M114" s="4">
        <v>0</v>
      </c>
      <c r="N114" s="27">
        <f t="shared" si="6"/>
        <v>2</v>
      </c>
    </row>
    <row r="115" spans="1:14" x14ac:dyDescent="0.25">
      <c r="A115" s="1">
        <v>45771</v>
      </c>
      <c r="B115" s="2">
        <v>1500</v>
      </c>
      <c r="C115" s="3">
        <v>1.4059999999999999</v>
      </c>
      <c r="D115" s="3">
        <v>0.13500000000000001</v>
      </c>
      <c r="E115" s="4">
        <f t="shared" si="4"/>
        <v>21.09</v>
      </c>
      <c r="F115" s="4">
        <f t="shared" si="5"/>
        <v>2.0249999999999999</v>
      </c>
      <c r="G115" s="4">
        <v>2</v>
      </c>
      <c r="H115" s="4">
        <v>0</v>
      </c>
      <c r="I115" s="4">
        <v>0</v>
      </c>
      <c r="J115" s="4">
        <v>0</v>
      </c>
      <c r="K115" s="4"/>
      <c r="L115" s="4"/>
      <c r="M115" s="4">
        <v>0</v>
      </c>
      <c r="N115" s="27">
        <f t="shared" si="6"/>
        <v>2</v>
      </c>
    </row>
    <row r="116" spans="1:14" x14ac:dyDescent="0.25">
      <c r="A116" s="1">
        <v>45772</v>
      </c>
      <c r="B116" s="2">
        <v>1336</v>
      </c>
      <c r="C116" s="3">
        <v>1.4059999999999999</v>
      </c>
      <c r="D116" s="3">
        <v>0.13500000000000001</v>
      </c>
      <c r="E116" s="4">
        <f t="shared" si="4"/>
        <v>18.78416</v>
      </c>
      <c r="F116" s="4">
        <f t="shared" si="5"/>
        <v>1.8036000000000001</v>
      </c>
      <c r="G116" s="4">
        <v>2</v>
      </c>
      <c r="H116" s="4">
        <v>0</v>
      </c>
      <c r="I116" s="4">
        <v>0</v>
      </c>
      <c r="J116" s="4">
        <v>0</v>
      </c>
      <c r="K116" s="4"/>
      <c r="L116" s="4"/>
      <c r="M116" s="4">
        <v>0</v>
      </c>
      <c r="N116" s="27">
        <f t="shared" si="6"/>
        <v>2</v>
      </c>
    </row>
    <row r="117" spans="1:14" x14ac:dyDescent="0.25">
      <c r="A117" s="1">
        <v>45773</v>
      </c>
      <c r="B117" s="2">
        <v>2617</v>
      </c>
      <c r="C117" s="3">
        <v>1.4059999999999999</v>
      </c>
      <c r="D117" s="3">
        <v>0.13500000000000001</v>
      </c>
      <c r="E117" s="4">
        <f t="shared" si="4"/>
        <v>36.795020000000001</v>
      </c>
      <c r="F117" s="4">
        <f t="shared" si="5"/>
        <v>3.53295</v>
      </c>
      <c r="G117" s="4">
        <v>2</v>
      </c>
      <c r="H117" s="4">
        <v>0</v>
      </c>
      <c r="I117" s="4">
        <v>0</v>
      </c>
      <c r="J117" s="4">
        <v>0</v>
      </c>
      <c r="K117" s="4"/>
      <c r="L117" s="4"/>
      <c r="M117" s="4">
        <v>0</v>
      </c>
      <c r="N117" s="27">
        <f t="shared" si="6"/>
        <v>2</v>
      </c>
    </row>
    <row r="118" spans="1:14" x14ac:dyDescent="0.25">
      <c r="A118" s="1">
        <v>45774</v>
      </c>
      <c r="B118" s="2">
        <v>2803</v>
      </c>
      <c r="C118" s="3">
        <v>1.4059999999999999</v>
      </c>
      <c r="D118" s="3">
        <v>0.13500000000000001</v>
      </c>
      <c r="E118" s="4">
        <f t="shared" si="4"/>
        <v>39.410179999999997</v>
      </c>
      <c r="F118" s="4">
        <f t="shared" si="5"/>
        <v>3.7840500000000001</v>
      </c>
      <c r="G118" s="4">
        <v>2</v>
      </c>
      <c r="H118" s="4">
        <v>0</v>
      </c>
      <c r="I118" s="4">
        <v>0</v>
      </c>
      <c r="J118" s="4">
        <v>0</v>
      </c>
      <c r="K118" s="4"/>
      <c r="L118" s="4"/>
      <c r="M118" s="4">
        <v>0</v>
      </c>
      <c r="N118" s="27">
        <f t="shared" si="6"/>
        <v>2</v>
      </c>
    </row>
    <row r="119" spans="1:14" x14ac:dyDescent="0.25">
      <c r="A119" s="1">
        <v>45775</v>
      </c>
      <c r="B119" s="2">
        <v>2717</v>
      </c>
      <c r="C119" s="3">
        <v>1.4059999999999999</v>
      </c>
      <c r="D119" s="3">
        <v>0.13500000000000001</v>
      </c>
      <c r="E119" s="4">
        <f t="shared" si="4"/>
        <v>38.20102</v>
      </c>
      <c r="F119" s="4">
        <f t="shared" si="5"/>
        <v>3.6679500000000003</v>
      </c>
      <c r="G119" s="4">
        <v>2</v>
      </c>
      <c r="H119" s="4">
        <v>0</v>
      </c>
      <c r="I119" s="4">
        <v>0</v>
      </c>
      <c r="J119" s="4">
        <v>0</v>
      </c>
      <c r="K119" s="4"/>
      <c r="L119" s="4"/>
      <c r="M119" s="4">
        <v>0</v>
      </c>
      <c r="N119" s="27">
        <f t="shared" si="6"/>
        <v>2</v>
      </c>
    </row>
    <row r="120" spans="1:14" x14ac:dyDescent="0.25">
      <c r="A120" s="1">
        <v>45776</v>
      </c>
      <c r="B120" s="2">
        <v>2223</v>
      </c>
      <c r="C120" s="3">
        <v>1.4059999999999999</v>
      </c>
      <c r="D120" s="3">
        <v>0.13500000000000001</v>
      </c>
      <c r="E120" s="4">
        <f t="shared" si="4"/>
        <v>31.255379999999999</v>
      </c>
      <c r="F120" s="4">
        <f t="shared" si="5"/>
        <v>3.0010500000000002</v>
      </c>
      <c r="G120" s="4">
        <v>2</v>
      </c>
      <c r="H120" s="4">
        <v>0</v>
      </c>
      <c r="I120" s="4">
        <v>0</v>
      </c>
      <c r="J120" s="4">
        <v>0</v>
      </c>
      <c r="K120" s="4"/>
      <c r="L120" s="4"/>
      <c r="M120" s="4">
        <v>0</v>
      </c>
      <c r="N120" s="27">
        <f>+SUM(G120:M120)</f>
        <v>2</v>
      </c>
    </row>
    <row r="121" spans="1:14" x14ac:dyDescent="0.25">
      <c r="A121" s="1">
        <v>45777</v>
      </c>
      <c r="B121" s="2">
        <v>3261</v>
      </c>
      <c r="C121" s="3">
        <v>1.4059999999999999</v>
      </c>
      <c r="D121" s="3">
        <v>0.13500000000000001</v>
      </c>
      <c r="E121" s="4">
        <f t="shared" si="4"/>
        <v>45.849659999999993</v>
      </c>
      <c r="F121" s="4">
        <f t="shared" si="5"/>
        <v>4.4023500000000002</v>
      </c>
      <c r="G121" s="4">
        <v>3</v>
      </c>
      <c r="H121" s="4">
        <v>0</v>
      </c>
      <c r="I121" s="4">
        <v>0</v>
      </c>
      <c r="J121" s="4">
        <v>0</v>
      </c>
      <c r="K121" s="4"/>
      <c r="L121" s="4"/>
      <c r="M121" s="4">
        <v>0</v>
      </c>
      <c r="N121" s="27">
        <f>+SUM(G121:M121)</f>
        <v>3</v>
      </c>
    </row>
    <row r="122" spans="1:14" x14ac:dyDescent="0.25">
      <c r="A122" s="1">
        <v>45778</v>
      </c>
      <c r="B122" s="2">
        <v>7283</v>
      </c>
      <c r="C122" s="3">
        <v>1.4059999999999999</v>
      </c>
      <c r="D122" s="3">
        <v>0.13500000000000001</v>
      </c>
      <c r="E122" s="4">
        <f t="shared" si="4"/>
        <v>102.39897999999999</v>
      </c>
      <c r="F122" s="4">
        <f t="shared" si="5"/>
        <v>9.8320500000000006</v>
      </c>
      <c r="G122" s="4">
        <v>4</v>
      </c>
      <c r="H122" s="4">
        <v>0</v>
      </c>
      <c r="I122" s="4">
        <v>0</v>
      </c>
      <c r="J122" s="4">
        <v>0</v>
      </c>
      <c r="K122" s="4"/>
      <c r="L122" s="4"/>
      <c r="M122" s="4">
        <v>0</v>
      </c>
      <c r="N122" s="27">
        <f>+SUM(G122:M122)</f>
        <v>4</v>
      </c>
    </row>
    <row r="123" spans="1:14" x14ac:dyDescent="0.25">
      <c r="A123" s="1">
        <v>45779</v>
      </c>
      <c r="B123" s="2">
        <v>8979</v>
      </c>
      <c r="C123" s="3">
        <v>1.4059999999999999</v>
      </c>
      <c r="D123" s="3">
        <v>0.13500000000000001</v>
      </c>
      <c r="E123" s="4">
        <f t="shared" si="4"/>
        <v>126.24473999999998</v>
      </c>
      <c r="F123" s="4">
        <f t="shared" si="5"/>
        <v>12.121650000000002</v>
      </c>
      <c r="G123" s="4">
        <v>4</v>
      </c>
      <c r="H123" s="4">
        <v>0</v>
      </c>
      <c r="I123" s="4">
        <v>0</v>
      </c>
      <c r="J123" s="4">
        <v>0</v>
      </c>
      <c r="K123" s="4"/>
      <c r="L123" s="4"/>
      <c r="M123" s="4">
        <v>0</v>
      </c>
      <c r="N123" s="27">
        <f>+SUM(G123:M123)</f>
        <v>4</v>
      </c>
    </row>
    <row r="124" spans="1:14" x14ac:dyDescent="0.25">
      <c r="A124" s="1">
        <v>45780</v>
      </c>
      <c r="B124" s="2">
        <v>8485</v>
      </c>
      <c r="C124" s="3">
        <v>1.4059999999999999</v>
      </c>
      <c r="D124" s="3">
        <v>0.13500000000000001</v>
      </c>
      <c r="E124" s="4">
        <f t="shared" si="4"/>
        <v>119.2991</v>
      </c>
      <c r="F124" s="4">
        <f t="shared" si="5"/>
        <v>11.454750000000001</v>
      </c>
      <c r="G124" s="4">
        <v>5</v>
      </c>
      <c r="H124" s="4">
        <v>0</v>
      </c>
      <c r="I124" s="4">
        <v>0</v>
      </c>
      <c r="J124" s="4">
        <v>0</v>
      </c>
      <c r="K124" s="4"/>
      <c r="L124" s="4"/>
      <c r="M124" s="4">
        <v>0</v>
      </c>
      <c r="N124" s="27">
        <f>+SUM(G124:M124)</f>
        <v>5</v>
      </c>
    </row>
    <row r="125" spans="1:14" x14ac:dyDescent="0.25">
      <c r="A125" s="1">
        <v>45781</v>
      </c>
      <c r="B125" s="2">
        <v>10255</v>
      </c>
      <c r="C125" s="3">
        <v>1.4059999999999999</v>
      </c>
      <c r="D125" s="3">
        <v>0.13500000000000001</v>
      </c>
      <c r="E125" s="4">
        <f t="shared" si="4"/>
        <v>144.18529999999998</v>
      </c>
      <c r="F125" s="4">
        <f t="shared" si="5"/>
        <v>13.844250000000002</v>
      </c>
      <c r="G125" s="4">
        <v>5</v>
      </c>
      <c r="H125" s="4">
        <v>0</v>
      </c>
      <c r="I125" s="4">
        <v>0</v>
      </c>
      <c r="J125" s="4">
        <v>0</v>
      </c>
      <c r="K125" s="4"/>
      <c r="L125" s="4"/>
      <c r="M125" s="4">
        <v>0</v>
      </c>
      <c r="N125" s="27">
        <f t="shared" ref="N125:N135" si="7">+SUM(G125:M125)</f>
        <v>5</v>
      </c>
    </row>
    <row r="126" spans="1:14" x14ac:dyDescent="0.25">
      <c r="A126" s="1">
        <v>45782</v>
      </c>
      <c r="B126" s="2">
        <v>11858</v>
      </c>
      <c r="C126" s="3">
        <v>1.49</v>
      </c>
      <c r="D126" s="3">
        <v>0.04</v>
      </c>
      <c r="E126" s="4">
        <f t="shared" si="4"/>
        <v>176.68419999999998</v>
      </c>
      <c r="F126" s="4">
        <f t="shared" si="5"/>
        <v>4.7431999999999999</v>
      </c>
      <c r="G126" s="4">
        <v>5</v>
      </c>
      <c r="H126" s="4">
        <v>0</v>
      </c>
      <c r="I126" s="4">
        <v>0</v>
      </c>
      <c r="J126" s="4">
        <v>0</v>
      </c>
      <c r="K126" s="4"/>
      <c r="L126" s="4"/>
      <c r="M126" s="4">
        <v>0</v>
      </c>
      <c r="N126" s="27">
        <f t="shared" si="7"/>
        <v>5</v>
      </c>
    </row>
    <row r="127" spans="1:14" x14ac:dyDescent="0.25">
      <c r="A127" s="1">
        <v>45783</v>
      </c>
      <c r="B127" s="2">
        <v>13049</v>
      </c>
      <c r="C127" s="3">
        <v>1.49</v>
      </c>
      <c r="D127" s="3">
        <v>0.04</v>
      </c>
      <c r="E127" s="4">
        <f t="shared" si="4"/>
        <v>194.43009999999998</v>
      </c>
      <c r="F127" s="4">
        <f t="shared" si="5"/>
        <v>5.2196000000000007</v>
      </c>
      <c r="G127" s="4">
        <v>6</v>
      </c>
      <c r="H127" s="4">
        <v>0</v>
      </c>
      <c r="I127" s="4">
        <v>0</v>
      </c>
      <c r="J127" s="4">
        <v>0</v>
      </c>
      <c r="K127" s="4"/>
      <c r="L127" s="4"/>
      <c r="M127" s="4">
        <v>0</v>
      </c>
      <c r="N127" s="27">
        <f t="shared" si="7"/>
        <v>6</v>
      </c>
    </row>
    <row r="128" spans="1:14" x14ac:dyDescent="0.25">
      <c r="A128" s="1">
        <v>45784</v>
      </c>
      <c r="B128" s="2">
        <v>16065</v>
      </c>
      <c r="C128" s="3">
        <v>1.49</v>
      </c>
      <c r="D128" s="3">
        <v>0.04</v>
      </c>
      <c r="E128" s="4">
        <f t="shared" si="4"/>
        <v>239.36849999999998</v>
      </c>
      <c r="F128" s="4">
        <f t="shared" si="5"/>
        <v>6.4260000000000002</v>
      </c>
      <c r="G128" s="4">
        <v>7</v>
      </c>
      <c r="H128" s="4">
        <v>0</v>
      </c>
      <c r="I128" s="4">
        <v>0</v>
      </c>
      <c r="J128" s="4">
        <v>0</v>
      </c>
      <c r="K128" s="4"/>
      <c r="L128" s="4"/>
      <c r="M128" s="4">
        <v>0</v>
      </c>
      <c r="N128" s="27">
        <f t="shared" si="7"/>
        <v>7</v>
      </c>
    </row>
    <row r="129" spans="1:14" x14ac:dyDescent="0.25">
      <c r="A129" s="1">
        <v>45785</v>
      </c>
      <c r="B129" s="2">
        <v>17500</v>
      </c>
      <c r="C129" s="3">
        <v>1.49</v>
      </c>
      <c r="D129" s="3">
        <v>0.04</v>
      </c>
      <c r="E129" s="4">
        <f t="shared" si="4"/>
        <v>260.75</v>
      </c>
      <c r="F129" s="4">
        <f t="shared" si="5"/>
        <v>7</v>
      </c>
      <c r="G129" s="4">
        <v>7</v>
      </c>
      <c r="H129" s="4">
        <v>0</v>
      </c>
      <c r="I129" s="4">
        <v>0</v>
      </c>
      <c r="J129" s="4">
        <v>0</v>
      </c>
      <c r="K129" s="4"/>
      <c r="L129" s="4"/>
      <c r="M129" s="4">
        <v>0</v>
      </c>
      <c r="N129" s="27">
        <f t="shared" si="7"/>
        <v>7</v>
      </c>
    </row>
    <row r="130" spans="1:14" x14ac:dyDescent="0.25">
      <c r="A130" s="1">
        <v>45786</v>
      </c>
      <c r="B130" s="2">
        <v>17595</v>
      </c>
      <c r="C130" s="3">
        <v>1.49</v>
      </c>
      <c r="D130" s="3">
        <v>0.04</v>
      </c>
      <c r="E130" s="4">
        <f t="shared" ref="E130:E193" si="8">+C130*B130/100</f>
        <v>262.16550000000001</v>
      </c>
      <c r="F130" s="4">
        <f t="shared" ref="F130:F193" si="9">+D130*B130/100</f>
        <v>7.0380000000000003</v>
      </c>
      <c r="G130" s="4">
        <v>7</v>
      </c>
      <c r="H130" s="4">
        <v>0</v>
      </c>
      <c r="I130" s="4">
        <v>0</v>
      </c>
      <c r="J130" s="4">
        <v>0</v>
      </c>
      <c r="K130" s="4"/>
      <c r="L130" s="4"/>
      <c r="M130" s="4">
        <v>0</v>
      </c>
      <c r="N130" s="27">
        <f t="shared" si="7"/>
        <v>7</v>
      </c>
    </row>
    <row r="131" spans="1:14" x14ac:dyDescent="0.25">
      <c r="A131" s="1">
        <v>45787</v>
      </c>
      <c r="B131" s="2">
        <v>18345</v>
      </c>
      <c r="C131" s="3">
        <v>1.45</v>
      </c>
      <c r="D131" s="3">
        <v>0.05</v>
      </c>
      <c r="E131" s="4">
        <f t="shared" si="8"/>
        <v>266.0025</v>
      </c>
      <c r="F131" s="4">
        <f t="shared" si="9"/>
        <v>9.1724999999999994</v>
      </c>
      <c r="G131" s="4">
        <v>7</v>
      </c>
      <c r="H131" s="4">
        <v>0</v>
      </c>
      <c r="I131" s="4">
        <v>0</v>
      </c>
      <c r="J131" s="4">
        <v>0</v>
      </c>
      <c r="K131" s="4"/>
      <c r="L131" s="4"/>
      <c r="M131" s="4">
        <v>0</v>
      </c>
      <c r="N131" s="27">
        <f t="shared" si="7"/>
        <v>7</v>
      </c>
    </row>
    <row r="132" spans="1:14" x14ac:dyDescent="0.25">
      <c r="A132" s="1">
        <v>45788</v>
      </c>
      <c r="B132" s="2">
        <v>18959</v>
      </c>
      <c r="C132" s="3">
        <v>1.45</v>
      </c>
      <c r="D132" s="3">
        <v>0.05</v>
      </c>
      <c r="E132" s="4">
        <f t="shared" si="8"/>
        <v>274.90550000000002</v>
      </c>
      <c r="F132" s="4">
        <f t="shared" si="9"/>
        <v>9.4794999999999998</v>
      </c>
      <c r="G132" s="4">
        <v>7</v>
      </c>
      <c r="H132" s="4">
        <v>0</v>
      </c>
      <c r="I132" s="4">
        <v>0</v>
      </c>
      <c r="J132" s="4">
        <v>0</v>
      </c>
      <c r="K132" s="4"/>
      <c r="L132" s="4"/>
      <c r="M132" s="4">
        <v>0</v>
      </c>
      <c r="N132" s="27">
        <f t="shared" si="7"/>
        <v>7</v>
      </c>
    </row>
    <row r="133" spans="1:14" x14ac:dyDescent="0.25">
      <c r="A133" s="1">
        <v>45789</v>
      </c>
      <c r="B133" s="2">
        <v>18889</v>
      </c>
      <c r="C133" s="3">
        <v>1.45</v>
      </c>
      <c r="D133" s="3">
        <v>0.05</v>
      </c>
      <c r="E133" s="4">
        <f t="shared" si="8"/>
        <v>273.89049999999997</v>
      </c>
      <c r="F133" s="4">
        <f t="shared" si="9"/>
        <v>9.4444999999999997</v>
      </c>
      <c r="G133" s="4">
        <v>7</v>
      </c>
      <c r="H133" s="4">
        <v>0</v>
      </c>
      <c r="I133" s="4">
        <v>0</v>
      </c>
      <c r="J133" s="4">
        <v>0</v>
      </c>
      <c r="K133" s="4"/>
      <c r="L133" s="4"/>
      <c r="M133" s="4">
        <v>0</v>
      </c>
      <c r="N133" s="27">
        <f t="shared" si="7"/>
        <v>7</v>
      </c>
    </row>
    <row r="134" spans="1:14" x14ac:dyDescent="0.25">
      <c r="A134" s="1">
        <v>45790</v>
      </c>
      <c r="B134" s="2">
        <v>19938</v>
      </c>
      <c r="C134" s="3">
        <v>1.45</v>
      </c>
      <c r="D134" s="3">
        <v>0.05</v>
      </c>
      <c r="E134" s="4">
        <f t="shared" si="8"/>
        <v>289.101</v>
      </c>
      <c r="F134" s="4">
        <f t="shared" si="9"/>
        <v>9.9690000000000012</v>
      </c>
      <c r="G134" s="4">
        <v>7</v>
      </c>
      <c r="H134" s="4">
        <v>0</v>
      </c>
      <c r="I134" s="4">
        <v>0</v>
      </c>
      <c r="J134" s="4">
        <v>0</v>
      </c>
      <c r="K134" s="4"/>
      <c r="L134" s="4"/>
      <c r="M134" s="4">
        <v>0</v>
      </c>
      <c r="N134" s="27">
        <f t="shared" si="7"/>
        <v>7</v>
      </c>
    </row>
    <row r="135" spans="1:14" x14ac:dyDescent="0.25">
      <c r="A135" s="1">
        <v>45791</v>
      </c>
      <c r="B135" s="2">
        <v>19871</v>
      </c>
      <c r="C135" s="3">
        <v>1.45</v>
      </c>
      <c r="D135" s="3">
        <v>0.05</v>
      </c>
      <c r="E135" s="4">
        <f t="shared" si="8"/>
        <v>288.12950000000001</v>
      </c>
      <c r="F135" s="4">
        <f t="shared" si="9"/>
        <v>9.9355000000000011</v>
      </c>
      <c r="G135" s="4">
        <v>7</v>
      </c>
      <c r="H135" s="4">
        <v>1</v>
      </c>
      <c r="I135" s="4">
        <v>0</v>
      </c>
      <c r="J135" s="4">
        <v>0</v>
      </c>
      <c r="K135" s="4"/>
      <c r="L135" s="4"/>
      <c r="M135" s="4">
        <v>0</v>
      </c>
      <c r="N135" s="27">
        <f t="shared" si="7"/>
        <v>8</v>
      </c>
    </row>
    <row r="136" spans="1:14" x14ac:dyDescent="0.25">
      <c r="A136" s="1">
        <v>45792</v>
      </c>
      <c r="B136" s="2">
        <v>18860</v>
      </c>
      <c r="C136" s="3">
        <v>1.45</v>
      </c>
      <c r="D136" s="3">
        <v>0.05</v>
      </c>
      <c r="E136" s="4">
        <f t="shared" si="8"/>
        <v>273.47000000000003</v>
      </c>
      <c r="F136" s="4">
        <f t="shared" si="9"/>
        <v>9.43</v>
      </c>
      <c r="G136" s="4">
        <v>6</v>
      </c>
      <c r="H136" s="4">
        <v>1</v>
      </c>
      <c r="I136" s="4">
        <v>0</v>
      </c>
      <c r="J136" s="4">
        <v>0</v>
      </c>
      <c r="K136" s="4"/>
      <c r="L136" s="4"/>
      <c r="M136" s="4">
        <v>0</v>
      </c>
      <c r="N136" s="27">
        <f>+SUM(G136:M136)</f>
        <v>7</v>
      </c>
    </row>
    <row r="137" spans="1:14" x14ac:dyDescent="0.25">
      <c r="A137" s="1">
        <v>45793</v>
      </c>
      <c r="B137" s="2">
        <v>16650</v>
      </c>
      <c r="C137" s="3">
        <v>1.45</v>
      </c>
      <c r="D137" s="3">
        <v>0.05</v>
      </c>
      <c r="E137" s="4">
        <f t="shared" si="8"/>
        <v>241.42500000000001</v>
      </c>
      <c r="F137" s="4">
        <f t="shared" si="9"/>
        <v>8.3249999999999993</v>
      </c>
      <c r="G137" s="4">
        <v>6</v>
      </c>
      <c r="H137" s="4">
        <v>1</v>
      </c>
      <c r="I137" s="4">
        <v>0</v>
      </c>
      <c r="J137" s="4">
        <v>0</v>
      </c>
      <c r="K137" s="4"/>
      <c r="L137" s="4"/>
      <c r="M137" s="4">
        <v>0</v>
      </c>
      <c r="N137" s="27">
        <f>+SUM(G137:M137)</f>
        <v>7</v>
      </c>
    </row>
    <row r="138" spans="1:14" x14ac:dyDescent="0.25">
      <c r="A138" s="1">
        <v>45794</v>
      </c>
      <c r="B138" s="2">
        <v>15975</v>
      </c>
      <c r="C138" s="3">
        <v>1.45</v>
      </c>
      <c r="D138" s="3">
        <v>0.05</v>
      </c>
      <c r="E138" s="4">
        <f t="shared" si="8"/>
        <v>231.63749999999999</v>
      </c>
      <c r="F138" s="4">
        <f t="shared" si="9"/>
        <v>7.9874999999999998</v>
      </c>
      <c r="G138" s="4">
        <v>6</v>
      </c>
      <c r="H138" s="4">
        <v>1</v>
      </c>
      <c r="I138" s="4">
        <v>0</v>
      </c>
      <c r="J138" s="4">
        <v>0</v>
      </c>
      <c r="K138" s="4"/>
      <c r="L138" s="4"/>
      <c r="M138" s="4">
        <v>0</v>
      </c>
      <c r="N138" s="27">
        <f>+SUM(G138:M138)</f>
        <v>7</v>
      </c>
    </row>
    <row r="139" spans="1:14" x14ac:dyDescent="0.25">
      <c r="A139" s="1">
        <v>45795</v>
      </c>
      <c r="B139" s="2">
        <v>17476</v>
      </c>
      <c r="C139" s="3">
        <v>1.45</v>
      </c>
      <c r="D139" s="3">
        <v>0.05</v>
      </c>
      <c r="E139" s="4">
        <f t="shared" si="8"/>
        <v>253.40200000000002</v>
      </c>
      <c r="F139" s="4">
        <f t="shared" si="9"/>
        <v>8.7380000000000013</v>
      </c>
      <c r="G139" s="4">
        <v>6</v>
      </c>
      <c r="H139" s="4">
        <v>1</v>
      </c>
      <c r="I139" s="4">
        <v>0</v>
      </c>
      <c r="J139" s="4">
        <v>0</v>
      </c>
      <c r="K139" s="4"/>
      <c r="L139" s="4"/>
      <c r="M139" s="4">
        <v>0</v>
      </c>
      <c r="N139" s="27">
        <f t="shared" ref="N139" si="10">+SUM(G139:M139)</f>
        <v>7</v>
      </c>
    </row>
    <row r="140" spans="1:14" x14ac:dyDescent="0.25">
      <c r="A140" s="1">
        <v>45796</v>
      </c>
      <c r="B140" s="2">
        <v>15807</v>
      </c>
      <c r="C140" s="3">
        <v>1.45</v>
      </c>
      <c r="D140" s="3">
        <v>0.05</v>
      </c>
      <c r="E140" s="4">
        <f t="shared" si="8"/>
        <v>229.20149999999998</v>
      </c>
      <c r="F140" s="4">
        <f t="shared" si="9"/>
        <v>7.9035000000000002</v>
      </c>
      <c r="G140" s="4">
        <v>6</v>
      </c>
      <c r="H140" s="4">
        <v>1</v>
      </c>
      <c r="I140" s="4">
        <v>0</v>
      </c>
      <c r="J140" s="4">
        <v>0</v>
      </c>
      <c r="K140" s="4"/>
      <c r="L140" s="4"/>
      <c r="M140" s="4">
        <v>0</v>
      </c>
      <c r="N140" s="27">
        <f t="shared" ref="N140" si="11">+SUM(G140:M140)</f>
        <v>7</v>
      </c>
    </row>
    <row r="141" spans="1:14" x14ac:dyDescent="0.25">
      <c r="A141" s="1">
        <v>45797</v>
      </c>
      <c r="B141" s="2">
        <v>17476.41150220413</v>
      </c>
      <c r="C141" s="3">
        <v>1.45</v>
      </c>
      <c r="D141" s="3">
        <v>0.05</v>
      </c>
      <c r="E141" s="4">
        <f t="shared" si="8"/>
        <v>253.40796678195989</v>
      </c>
      <c r="F141" s="4">
        <f t="shared" si="9"/>
        <v>8.7382057511020648</v>
      </c>
      <c r="G141" s="4">
        <v>6</v>
      </c>
      <c r="H141" s="4">
        <v>1</v>
      </c>
      <c r="I141" s="4">
        <v>0</v>
      </c>
      <c r="J141" s="4">
        <v>3</v>
      </c>
      <c r="K141" s="4"/>
      <c r="L141" s="4"/>
      <c r="M141" s="4">
        <v>0</v>
      </c>
      <c r="N141" s="27">
        <f t="shared" ref="N141:N146" si="12">+SUM(G141:M141)</f>
        <v>10</v>
      </c>
    </row>
    <row r="142" spans="1:14" x14ac:dyDescent="0.25">
      <c r="A142" s="1">
        <v>45798</v>
      </c>
      <c r="B142" s="2">
        <v>18626.01764918588</v>
      </c>
      <c r="C142" s="3">
        <v>1.45</v>
      </c>
      <c r="D142" s="3">
        <v>0.05</v>
      </c>
      <c r="E142" s="4">
        <f t="shared" si="8"/>
        <v>270.07725591319524</v>
      </c>
      <c r="F142" s="4">
        <f t="shared" si="9"/>
        <v>9.3130088245929397</v>
      </c>
      <c r="G142" s="4">
        <v>6</v>
      </c>
      <c r="H142" s="4">
        <v>3</v>
      </c>
      <c r="I142" s="4">
        <v>0</v>
      </c>
      <c r="J142" s="4">
        <v>3</v>
      </c>
      <c r="K142" s="4"/>
      <c r="L142" s="4"/>
      <c r="M142" s="4">
        <v>0</v>
      </c>
      <c r="N142" s="27">
        <f t="shared" si="12"/>
        <v>12</v>
      </c>
    </row>
    <row r="143" spans="1:14" x14ac:dyDescent="0.25">
      <c r="A143" s="1">
        <v>45799</v>
      </c>
      <c r="B143" s="2">
        <v>16158.042923565661</v>
      </c>
      <c r="C143" s="3">
        <v>1.45</v>
      </c>
      <c r="D143" s="3">
        <v>0.05</v>
      </c>
      <c r="E143" s="4">
        <f t="shared" si="8"/>
        <v>234.29162239170208</v>
      </c>
      <c r="F143" s="4">
        <f t="shared" si="9"/>
        <v>8.0790214617828315</v>
      </c>
      <c r="G143" s="4">
        <v>6</v>
      </c>
      <c r="H143" s="4">
        <v>3</v>
      </c>
      <c r="I143" s="4">
        <v>0</v>
      </c>
      <c r="J143" s="4">
        <v>3</v>
      </c>
      <c r="K143" s="4"/>
      <c r="L143" s="4"/>
      <c r="M143" s="4">
        <v>0</v>
      </c>
      <c r="N143" s="27">
        <f t="shared" si="12"/>
        <v>12</v>
      </c>
    </row>
    <row r="144" spans="1:14" x14ac:dyDescent="0.25">
      <c r="A144" s="1">
        <v>45800</v>
      </c>
      <c r="B144" s="2">
        <v>26407.600290586437</v>
      </c>
      <c r="C144" s="3">
        <v>1.45</v>
      </c>
      <c r="D144" s="3">
        <v>0.05</v>
      </c>
      <c r="E144" s="4">
        <f t="shared" si="8"/>
        <v>382.91020421350333</v>
      </c>
      <c r="F144" s="4">
        <f t="shared" si="9"/>
        <v>13.203800145293219</v>
      </c>
      <c r="G144" s="4">
        <v>8</v>
      </c>
      <c r="H144" s="4">
        <v>3</v>
      </c>
      <c r="I144" s="4">
        <v>0</v>
      </c>
      <c r="J144" s="4">
        <v>3</v>
      </c>
      <c r="K144" s="4"/>
      <c r="L144" s="4"/>
      <c r="M144" s="4">
        <v>0</v>
      </c>
      <c r="N144" s="27">
        <f t="shared" si="12"/>
        <v>14</v>
      </c>
    </row>
    <row r="145" spans="1:14" x14ac:dyDescent="0.25">
      <c r="A145" s="1">
        <v>45801</v>
      </c>
      <c r="B145" s="2">
        <v>26034.799999999999</v>
      </c>
      <c r="C145" s="3">
        <v>1.45</v>
      </c>
      <c r="D145" s="3">
        <v>0.05</v>
      </c>
      <c r="E145" s="4">
        <f t="shared" si="8"/>
        <v>377.50459999999998</v>
      </c>
      <c r="F145" s="4">
        <f t="shared" si="9"/>
        <v>13.0174</v>
      </c>
      <c r="G145" s="4">
        <v>8</v>
      </c>
      <c r="H145" s="4">
        <v>3</v>
      </c>
      <c r="I145" s="4">
        <v>0</v>
      </c>
      <c r="J145" s="4">
        <v>3</v>
      </c>
      <c r="K145" s="4"/>
      <c r="L145" s="4"/>
      <c r="M145" s="4">
        <v>0</v>
      </c>
      <c r="N145" s="27">
        <f t="shared" si="12"/>
        <v>14</v>
      </c>
    </row>
    <row r="146" spans="1:14" x14ac:dyDescent="0.25">
      <c r="A146" s="1">
        <v>45802</v>
      </c>
      <c r="B146" s="2">
        <v>21002.847198555573</v>
      </c>
      <c r="C146" s="3">
        <v>1.45</v>
      </c>
      <c r="D146" s="3">
        <v>0.05</v>
      </c>
      <c r="E146" s="4">
        <f t="shared" si="8"/>
        <v>304.54128437905581</v>
      </c>
      <c r="F146" s="4">
        <f t="shared" si="9"/>
        <v>10.501423599277787</v>
      </c>
      <c r="G146" s="4">
        <v>6</v>
      </c>
      <c r="H146" s="4">
        <v>3</v>
      </c>
      <c r="I146" s="4">
        <v>0</v>
      </c>
      <c r="J146" s="4">
        <v>3</v>
      </c>
      <c r="K146" s="4"/>
      <c r="L146" s="4"/>
      <c r="M146" s="4">
        <v>0</v>
      </c>
      <c r="N146" s="27">
        <f t="shared" si="12"/>
        <v>12</v>
      </c>
    </row>
    <row r="147" spans="1:14" x14ac:dyDescent="0.25">
      <c r="A147" s="1">
        <v>45803</v>
      </c>
      <c r="B147" s="2">
        <v>25729.87827276405</v>
      </c>
      <c r="C147" s="3">
        <v>1.45</v>
      </c>
      <c r="D147" s="3">
        <v>0.05</v>
      </c>
      <c r="E147" s="4">
        <f t="shared" si="8"/>
        <v>373.08323495507875</v>
      </c>
      <c r="F147" s="4">
        <f t="shared" si="9"/>
        <v>12.864939136382027</v>
      </c>
      <c r="G147" s="4">
        <v>8</v>
      </c>
      <c r="H147" s="4">
        <v>3</v>
      </c>
      <c r="I147" s="4">
        <v>0</v>
      </c>
      <c r="J147" s="4">
        <v>3</v>
      </c>
      <c r="K147" s="4"/>
      <c r="L147" s="4"/>
      <c r="M147" s="4">
        <v>0</v>
      </c>
      <c r="N147" s="27">
        <f t="shared" ref="N147" si="13">+SUM(G147:M147)</f>
        <v>14</v>
      </c>
    </row>
    <row r="148" spans="1:14" x14ac:dyDescent="0.25">
      <c r="A148" s="1">
        <v>45804</v>
      </c>
      <c r="B148" s="2">
        <v>21715</v>
      </c>
      <c r="C148" s="3">
        <v>1.45</v>
      </c>
      <c r="D148" s="3">
        <v>0.05</v>
      </c>
      <c r="E148" s="4">
        <f t="shared" si="8"/>
        <v>314.86750000000001</v>
      </c>
      <c r="F148" s="4">
        <f t="shared" si="9"/>
        <v>10.8575</v>
      </c>
      <c r="G148" s="4">
        <v>6</v>
      </c>
      <c r="H148" s="4">
        <v>3</v>
      </c>
      <c r="I148" s="4">
        <v>0</v>
      </c>
      <c r="J148" s="4">
        <v>3</v>
      </c>
      <c r="K148" s="4"/>
      <c r="L148" s="4"/>
      <c r="M148" s="4">
        <v>0</v>
      </c>
      <c r="N148" s="27">
        <f t="shared" ref="N148:N211" si="14">+SUM(G148:M148)</f>
        <v>12</v>
      </c>
    </row>
    <row r="149" spans="1:14" x14ac:dyDescent="0.25">
      <c r="A149" s="1">
        <v>45805</v>
      </c>
      <c r="B149" s="2">
        <v>22503</v>
      </c>
      <c r="C149" s="3">
        <v>1.45</v>
      </c>
      <c r="D149" s="3">
        <v>0.05</v>
      </c>
      <c r="E149" s="4">
        <f t="shared" si="8"/>
        <v>326.29349999999999</v>
      </c>
      <c r="F149" s="4">
        <f t="shared" si="9"/>
        <v>11.2515</v>
      </c>
      <c r="G149" s="4">
        <v>6</v>
      </c>
      <c r="H149" s="4">
        <v>3</v>
      </c>
      <c r="I149" s="4">
        <v>0</v>
      </c>
      <c r="J149" s="4">
        <v>3</v>
      </c>
      <c r="K149" s="4"/>
      <c r="L149" s="4"/>
      <c r="M149" s="4">
        <v>0</v>
      </c>
      <c r="N149" s="27">
        <f t="shared" si="14"/>
        <v>12</v>
      </c>
    </row>
    <row r="150" spans="1:14" x14ac:dyDescent="0.25">
      <c r="A150" s="1">
        <v>45806</v>
      </c>
      <c r="B150" s="2">
        <v>25624</v>
      </c>
      <c r="C150" s="3">
        <v>1.45</v>
      </c>
      <c r="D150" s="3">
        <v>0.05</v>
      </c>
      <c r="E150" s="4">
        <f t="shared" si="8"/>
        <v>371.54799999999994</v>
      </c>
      <c r="F150" s="4">
        <f t="shared" si="9"/>
        <v>12.812000000000001</v>
      </c>
      <c r="G150" s="4">
        <v>6</v>
      </c>
      <c r="H150" s="4">
        <v>3</v>
      </c>
      <c r="I150" s="4">
        <v>0</v>
      </c>
      <c r="J150" s="4">
        <v>3</v>
      </c>
      <c r="K150" s="4"/>
      <c r="L150" s="4"/>
      <c r="M150" s="4">
        <v>3</v>
      </c>
      <c r="N150" s="27">
        <f t="shared" si="14"/>
        <v>15</v>
      </c>
    </row>
    <row r="151" spans="1:14" x14ac:dyDescent="0.25">
      <c r="A151" s="1">
        <v>45807</v>
      </c>
      <c r="B151" s="2">
        <v>23634</v>
      </c>
      <c r="C151" s="3">
        <v>1.45</v>
      </c>
      <c r="D151" s="3">
        <v>0.06</v>
      </c>
      <c r="E151" s="4">
        <f t="shared" si="8"/>
        <v>342.69299999999998</v>
      </c>
      <c r="F151" s="4">
        <f t="shared" si="9"/>
        <v>14.180399999999999</v>
      </c>
      <c r="G151" s="4">
        <v>6</v>
      </c>
      <c r="H151" s="4">
        <v>3</v>
      </c>
      <c r="I151" s="4">
        <v>0</v>
      </c>
      <c r="J151" s="4">
        <v>3</v>
      </c>
      <c r="K151" s="4"/>
      <c r="L151" s="4"/>
      <c r="M151" s="4">
        <v>3</v>
      </c>
      <c r="N151" s="27">
        <f t="shared" si="14"/>
        <v>15</v>
      </c>
    </row>
    <row r="152" spans="1:14" x14ac:dyDescent="0.25">
      <c r="A152" s="1">
        <v>45808</v>
      </c>
      <c r="B152" s="2">
        <v>24086</v>
      </c>
      <c r="C152" s="3">
        <v>1.48</v>
      </c>
      <c r="D152" s="3">
        <v>0.06</v>
      </c>
      <c r="E152" s="4">
        <f t="shared" si="8"/>
        <v>356.47280000000001</v>
      </c>
      <c r="F152" s="4">
        <f t="shared" si="9"/>
        <v>14.451599999999999</v>
      </c>
      <c r="G152" s="4">
        <v>6</v>
      </c>
      <c r="H152" s="4">
        <v>3</v>
      </c>
      <c r="I152" s="4">
        <v>0</v>
      </c>
      <c r="J152" s="4">
        <v>3</v>
      </c>
      <c r="K152" s="4"/>
      <c r="L152" s="4"/>
      <c r="M152" s="4">
        <v>4</v>
      </c>
      <c r="N152" s="27">
        <f t="shared" si="14"/>
        <v>16</v>
      </c>
    </row>
    <row r="153" spans="1:14" x14ac:dyDescent="0.25">
      <c r="A153" s="1">
        <v>45809</v>
      </c>
      <c r="B153" s="2">
        <v>28028</v>
      </c>
      <c r="C153" s="3">
        <v>1.48</v>
      </c>
      <c r="D153" s="3">
        <v>0.06</v>
      </c>
      <c r="E153" s="4">
        <f t="shared" si="8"/>
        <v>414.81440000000003</v>
      </c>
      <c r="F153" s="4">
        <f t="shared" si="9"/>
        <v>16.816799999999997</v>
      </c>
      <c r="G153" s="4">
        <v>6</v>
      </c>
      <c r="H153" s="4">
        <v>6</v>
      </c>
      <c r="I153" s="4">
        <v>0</v>
      </c>
      <c r="J153" s="4">
        <v>3</v>
      </c>
      <c r="K153" s="4"/>
      <c r="L153" s="4"/>
      <c r="M153" s="4">
        <v>4</v>
      </c>
      <c r="N153" s="27">
        <f t="shared" si="14"/>
        <v>19</v>
      </c>
    </row>
    <row r="154" spans="1:14" x14ac:dyDescent="0.25">
      <c r="A154" s="1">
        <v>45810</v>
      </c>
      <c r="B154" s="2">
        <v>30658</v>
      </c>
      <c r="C154" s="3">
        <v>1.48</v>
      </c>
      <c r="D154" s="3">
        <v>0.06</v>
      </c>
      <c r="E154" s="4">
        <f t="shared" si="8"/>
        <v>453.73839999999996</v>
      </c>
      <c r="F154" s="4">
        <f t="shared" si="9"/>
        <v>18.3948</v>
      </c>
      <c r="G154" s="4">
        <v>6</v>
      </c>
      <c r="H154" s="4">
        <v>7</v>
      </c>
      <c r="I154" s="4">
        <v>0</v>
      </c>
      <c r="J154" s="4">
        <v>4</v>
      </c>
      <c r="K154" s="4"/>
      <c r="L154" s="4"/>
      <c r="M154" s="4">
        <v>4</v>
      </c>
      <c r="N154" s="27">
        <f t="shared" si="14"/>
        <v>21</v>
      </c>
    </row>
    <row r="155" spans="1:14" x14ac:dyDescent="0.25">
      <c r="A155" s="1">
        <v>45811</v>
      </c>
      <c r="B155" s="2">
        <v>32595</v>
      </c>
      <c r="C155" s="3">
        <v>1.48</v>
      </c>
      <c r="D155" s="3">
        <v>0.06</v>
      </c>
      <c r="E155" s="4">
        <f t="shared" si="8"/>
        <v>482.40600000000001</v>
      </c>
      <c r="F155" s="4">
        <f t="shared" si="9"/>
        <v>19.556999999999999</v>
      </c>
      <c r="G155" s="4">
        <v>6</v>
      </c>
      <c r="H155" s="4">
        <v>7</v>
      </c>
      <c r="I155" s="4">
        <v>0</v>
      </c>
      <c r="J155" s="4">
        <v>4</v>
      </c>
      <c r="K155" s="4"/>
      <c r="L155" s="4"/>
      <c r="M155" s="4">
        <v>4</v>
      </c>
      <c r="N155" s="27">
        <f t="shared" si="14"/>
        <v>21</v>
      </c>
    </row>
    <row r="156" spans="1:14" x14ac:dyDescent="0.25">
      <c r="A156" s="1">
        <v>45812</v>
      </c>
      <c r="B156" s="2">
        <v>38385</v>
      </c>
      <c r="C156" s="3">
        <v>1.48</v>
      </c>
      <c r="D156" s="3">
        <v>0.06</v>
      </c>
      <c r="E156" s="4">
        <f t="shared" si="8"/>
        <v>568.09800000000007</v>
      </c>
      <c r="F156" s="4">
        <f t="shared" si="9"/>
        <v>23.030999999999999</v>
      </c>
      <c r="G156" s="4">
        <v>8</v>
      </c>
      <c r="H156" s="4">
        <v>7</v>
      </c>
      <c r="I156" s="4">
        <v>0</v>
      </c>
      <c r="J156" s="4">
        <v>4</v>
      </c>
      <c r="K156" s="4"/>
      <c r="L156" s="4"/>
      <c r="M156" s="4">
        <v>4</v>
      </c>
      <c r="N156" s="27">
        <f t="shared" si="14"/>
        <v>23</v>
      </c>
    </row>
    <row r="157" spans="1:14" x14ac:dyDescent="0.25">
      <c r="A157" s="1">
        <v>45813</v>
      </c>
      <c r="B157" s="2">
        <v>38711</v>
      </c>
      <c r="C157" s="3">
        <v>1.48</v>
      </c>
      <c r="D157" s="3">
        <v>0.06</v>
      </c>
      <c r="E157" s="4">
        <f t="shared" si="8"/>
        <v>572.92279999999994</v>
      </c>
      <c r="F157" s="4">
        <f t="shared" si="9"/>
        <v>23.226599999999998</v>
      </c>
      <c r="G157" s="4">
        <v>8</v>
      </c>
      <c r="H157" s="4">
        <v>7</v>
      </c>
      <c r="I157" s="4">
        <v>0</v>
      </c>
      <c r="J157" s="4">
        <v>4</v>
      </c>
      <c r="K157" s="4"/>
      <c r="L157" s="4"/>
      <c r="M157" s="4">
        <v>4</v>
      </c>
      <c r="N157" s="27">
        <f t="shared" si="14"/>
        <v>23</v>
      </c>
    </row>
    <row r="158" spans="1:14" x14ac:dyDescent="0.25">
      <c r="A158" s="1">
        <v>45814</v>
      </c>
      <c r="B158" s="2">
        <v>32841</v>
      </c>
      <c r="C158" s="3">
        <v>1.48</v>
      </c>
      <c r="D158" s="3">
        <v>0.06</v>
      </c>
      <c r="E158" s="4">
        <f t="shared" si="8"/>
        <v>486.04680000000002</v>
      </c>
      <c r="F158" s="4">
        <f t="shared" si="9"/>
        <v>19.704599999999999</v>
      </c>
      <c r="G158" s="4">
        <v>8</v>
      </c>
      <c r="H158" s="4">
        <v>7</v>
      </c>
      <c r="I158" s="4">
        <v>0</v>
      </c>
      <c r="J158" s="4">
        <v>4</v>
      </c>
      <c r="K158" s="4"/>
      <c r="L158" s="4"/>
      <c r="M158" s="4">
        <v>0</v>
      </c>
      <c r="N158" s="27">
        <f t="shared" si="14"/>
        <v>19</v>
      </c>
    </row>
    <row r="159" spans="1:14" x14ac:dyDescent="0.25">
      <c r="A159" s="1">
        <v>45815</v>
      </c>
      <c r="B159" s="2">
        <v>34192</v>
      </c>
      <c r="C159" s="3">
        <v>1.48</v>
      </c>
      <c r="D159" s="3">
        <v>0.06</v>
      </c>
      <c r="E159" s="4">
        <f t="shared" si="8"/>
        <v>506.04159999999996</v>
      </c>
      <c r="F159" s="4">
        <f t="shared" si="9"/>
        <v>20.5152</v>
      </c>
      <c r="G159" s="4">
        <v>8</v>
      </c>
      <c r="H159" s="4">
        <v>7</v>
      </c>
      <c r="I159" s="4">
        <v>0</v>
      </c>
      <c r="J159" s="4">
        <v>4</v>
      </c>
      <c r="K159" s="4"/>
      <c r="L159" s="4"/>
      <c r="M159" s="4">
        <v>0</v>
      </c>
      <c r="N159" s="27">
        <f t="shared" si="14"/>
        <v>19</v>
      </c>
    </row>
    <row r="160" spans="1:14" x14ac:dyDescent="0.25">
      <c r="A160" s="1">
        <v>45816</v>
      </c>
      <c r="B160" s="2">
        <v>48702</v>
      </c>
      <c r="C160" s="3">
        <v>1.48</v>
      </c>
      <c r="D160" s="3">
        <v>0.06</v>
      </c>
      <c r="E160" s="4">
        <f t="shared" si="8"/>
        <v>720.78960000000006</v>
      </c>
      <c r="F160" s="4">
        <f t="shared" si="9"/>
        <v>29.2212</v>
      </c>
      <c r="G160" s="4">
        <v>8</v>
      </c>
      <c r="H160" s="4">
        <v>7</v>
      </c>
      <c r="I160" s="4">
        <v>0</v>
      </c>
      <c r="J160" s="4">
        <v>4</v>
      </c>
      <c r="K160" s="4"/>
      <c r="L160" s="4"/>
      <c r="M160" s="4">
        <v>4</v>
      </c>
      <c r="N160" s="27">
        <f t="shared" si="14"/>
        <v>23</v>
      </c>
    </row>
    <row r="161" spans="1:14" x14ac:dyDescent="0.25">
      <c r="A161" s="1">
        <v>45817</v>
      </c>
      <c r="B161" s="2">
        <v>42276</v>
      </c>
      <c r="C161" s="3">
        <v>1.48</v>
      </c>
      <c r="D161" s="3">
        <v>0.06</v>
      </c>
      <c r="E161" s="4">
        <f t="shared" si="8"/>
        <v>625.6848</v>
      </c>
      <c r="F161" s="4">
        <f t="shared" si="9"/>
        <v>25.365600000000001</v>
      </c>
      <c r="G161" s="4">
        <v>8</v>
      </c>
      <c r="H161" s="4">
        <v>7</v>
      </c>
      <c r="I161" s="4">
        <v>0</v>
      </c>
      <c r="J161" s="4">
        <v>4</v>
      </c>
      <c r="K161" s="4"/>
      <c r="L161" s="4"/>
      <c r="M161" s="4">
        <v>4</v>
      </c>
      <c r="N161" s="27">
        <f t="shared" si="14"/>
        <v>23</v>
      </c>
    </row>
    <row r="162" spans="1:14" x14ac:dyDescent="0.25">
      <c r="A162" s="1">
        <v>45818</v>
      </c>
      <c r="B162" s="2">
        <v>51290</v>
      </c>
      <c r="C162" s="3">
        <v>1.48</v>
      </c>
      <c r="D162" s="3">
        <v>0.06</v>
      </c>
      <c r="E162" s="4">
        <f t="shared" si="8"/>
        <v>759.09199999999998</v>
      </c>
      <c r="F162" s="4">
        <f t="shared" si="9"/>
        <v>30.774000000000001</v>
      </c>
      <c r="G162" s="4">
        <v>8</v>
      </c>
      <c r="H162" s="4">
        <v>7</v>
      </c>
      <c r="I162" s="4">
        <v>4</v>
      </c>
      <c r="J162" s="4">
        <v>5</v>
      </c>
      <c r="K162" s="4"/>
      <c r="L162" s="4"/>
      <c r="M162" s="4">
        <v>4</v>
      </c>
      <c r="N162" s="27">
        <f t="shared" si="14"/>
        <v>28</v>
      </c>
    </row>
    <row r="163" spans="1:14" x14ac:dyDescent="0.25">
      <c r="A163" s="1">
        <v>45819</v>
      </c>
      <c r="B163" s="2">
        <v>44427</v>
      </c>
      <c r="C163" s="3">
        <v>1.48</v>
      </c>
      <c r="D163" s="3">
        <v>0.06</v>
      </c>
      <c r="E163" s="4">
        <f t="shared" si="8"/>
        <v>657.51960000000008</v>
      </c>
      <c r="F163" s="4">
        <f t="shared" si="9"/>
        <v>26.656199999999998</v>
      </c>
      <c r="G163" s="4">
        <v>8</v>
      </c>
      <c r="H163" s="4">
        <v>7</v>
      </c>
      <c r="I163" s="4">
        <v>4</v>
      </c>
      <c r="J163" s="4">
        <v>5</v>
      </c>
      <c r="K163" s="4"/>
      <c r="L163" s="4"/>
      <c r="M163" s="4">
        <v>4</v>
      </c>
      <c r="N163" s="27">
        <f t="shared" si="14"/>
        <v>28</v>
      </c>
    </row>
    <row r="164" spans="1:14" x14ac:dyDescent="0.25">
      <c r="A164" s="1">
        <v>45820</v>
      </c>
      <c r="B164" s="2">
        <v>50205</v>
      </c>
      <c r="C164" s="3">
        <v>1.48</v>
      </c>
      <c r="D164" s="3">
        <v>0.06</v>
      </c>
      <c r="E164" s="4">
        <f t="shared" si="8"/>
        <v>743.03399999999999</v>
      </c>
      <c r="F164" s="4">
        <f t="shared" si="9"/>
        <v>30.122999999999998</v>
      </c>
      <c r="G164" s="4">
        <v>8</v>
      </c>
      <c r="H164" s="4">
        <v>7</v>
      </c>
      <c r="I164" s="4">
        <v>4</v>
      </c>
      <c r="J164" s="4">
        <v>5</v>
      </c>
      <c r="K164" s="4"/>
      <c r="L164" s="4"/>
      <c r="M164" s="4">
        <v>4</v>
      </c>
      <c r="N164" s="27">
        <f t="shared" si="14"/>
        <v>28</v>
      </c>
    </row>
    <row r="165" spans="1:14" x14ac:dyDescent="0.25">
      <c r="A165" s="1">
        <v>45821</v>
      </c>
      <c r="B165" s="2">
        <v>44449</v>
      </c>
      <c r="C165" s="3">
        <v>1.4434784852450757</v>
      </c>
      <c r="D165" s="3">
        <v>7.0000000000000007E-2</v>
      </c>
      <c r="E165" s="4">
        <f t="shared" si="8"/>
        <v>641.61175190658378</v>
      </c>
      <c r="F165" s="4">
        <f t="shared" si="9"/>
        <v>31.114300000000004</v>
      </c>
      <c r="G165" s="4">
        <v>5</v>
      </c>
      <c r="H165" s="4">
        <v>7</v>
      </c>
      <c r="I165" s="4">
        <v>4</v>
      </c>
      <c r="J165" s="4">
        <v>5</v>
      </c>
      <c r="K165" s="4"/>
      <c r="L165" s="4"/>
      <c r="M165" s="4">
        <v>4</v>
      </c>
      <c r="N165" s="27">
        <f t="shared" si="14"/>
        <v>25</v>
      </c>
    </row>
    <row r="166" spans="1:14" x14ac:dyDescent="0.25">
      <c r="A166" s="1">
        <v>45822</v>
      </c>
      <c r="B166" s="2">
        <v>40504</v>
      </c>
      <c r="C166" s="3">
        <v>1.4373117353175497</v>
      </c>
      <c r="D166" s="3">
        <v>7.3086985297970267E-2</v>
      </c>
      <c r="E166" s="4">
        <f t="shared" si="8"/>
        <v>582.16874527302036</v>
      </c>
      <c r="F166" s="4">
        <f t="shared" si="9"/>
        <v>29.603152525089875</v>
      </c>
      <c r="G166" s="4">
        <v>5</v>
      </c>
      <c r="H166" s="4">
        <v>7</v>
      </c>
      <c r="I166" s="4">
        <v>4</v>
      </c>
      <c r="J166" s="4">
        <v>4</v>
      </c>
      <c r="K166" s="4"/>
      <c r="L166" s="4"/>
      <c r="M166" s="4">
        <v>4</v>
      </c>
      <c r="N166" s="27">
        <f t="shared" si="14"/>
        <v>24</v>
      </c>
    </row>
    <row r="167" spans="1:14" x14ac:dyDescent="0.25">
      <c r="A167" s="1">
        <v>45823</v>
      </c>
      <c r="B167" s="2">
        <v>38920.916114867112</v>
      </c>
      <c r="C167" s="3">
        <v>1.4267547759834633</v>
      </c>
      <c r="D167" s="3">
        <v>7.2536561355402707E-2</v>
      </c>
      <c r="E167" s="4">
        <f t="shared" si="8"/>
        <v>555.30602952538391</v>
      </c>
      <c r="F167" s="4">
        <f t="shared" si="9"/>
        <v>28.231894197745401</v>
      </c>
      <c r="G167" s="4">
        <v>4</v>
      </c>
      <c r="H167" s="4">
        <v>7</v>
      </c>
      <c r="I167" s="4">
        <v>4</v>
      </c>
      <c r="J167" s="4">
        <v>4</v>
      </c>
      <c r="K167" s="4"/>
      <c r="L167" s="4"/>
      <c r="M167" s="4">
        <v>4</v>
      </c>
      <c r="N167" s="27">
        <f t="shared" si="14"/>
        <v>23</v>
      </c>
    </row>
    <row r="168" spans="1:14" x14ac:dyDescent="0.25">
      <c r="A168" s="1">
        <v>45824</v>
      </c>
      <c r="B168" s="2">
        <v>36958</v>
      </c>
      <c r="C168" s="3">
        <v>1.4201364654900488</v>
      </c>
      <c r="D168" s="3">
        <v>7.2699922854427404E-2</v>
      </c>
      <c r="E168" s="4">
        <f t="shared" si="8"/>
        <v>524.85403491581224</v>
      </c>
      <c r="F168" s="4">
        <f t="shared" si="9"/>
        <v>26.868437488539278</v>
      </c>
      <c r="G168" s="4">
        <v>4</v>
      </c>
      <c r="H168" s="4">
        <v>7</v>
      </c>
      <c r="I168" s="4">
        <v>4</v>
      </c>
      <c r="J168" s="4">
        <v>4</v>
      </c>
      <c r="K168" s="4"/>
      <c r="L168" s="4"/>
      <c r="M168" s="4">
        <v>4</v>
      </c>
      <c r="N168" s="27">
        <f t="shared" si="14"/>
        <v>23</v>
      </c>
    </row>
    <row r="169" spans="1:14" x14ac:dyDescent="0.25">
      <c r="A169" s="1">
        <v>45825</v>
      </c>
      <c r="B169" s="2">
        <v>39264</v>
      </c>
      <c r="C169" s="3">
        <v>1.3910765994147423</v>
      </c>
      <c r="D169" s="3">
        <v>7.4597412602480997E-2</v>
      </c>
      <c r="E169" s="4">
        <f t="shared" si="8"/>
        <v>546.19231599420436</v>
      </c>
      <c r="F169" s="4">
        <f t="shared" si="9"/>
        <v>29.289928084238142</v>
      </c>
      <c r="G169" s="4">
        <v>5</v>
      </c>
      <c r="H169" s="4">
        <v>7</v>
      </c>
      <c r="I169" s="4">
        <v>4</v>
      </c>
      <c r="J169" s="4">
        <v>4</v>
      </c>
      <c r="K169" s="4"/>
      <c r="L169" s="4"/>
      <c r="M169" s="4">
        <v>4</v>
      </c>
      <c r="N169" s="27">
        <f t="shared" si="14"/>
        <v>24</v>
      </c>
    </row>
    <row r="170" spans="1:14" x14ac:dyDescent="0.25">
      <c r="A170" s="1">
        <v>45826</v>
      </c>
      <c r="B170" s="2">
        <v>42862</v>
      </c>
      <c r="C170" s="3">
        <v>1.3910765994147423</v>
      </c>
      <c r="D170" s="3">
        <v>7.4597412602480997E-2</v>
      </c>
      <c r="E170" s="4">
        <f t="shared" si="8"/>
        <v>596.24325204114689</v>
      </c>
      <c r="F170" s="4">
        <f t="shared" si="9"/>
        <v>31.973942989675407</v>
      </c>
      <c r="G170" s="4">
        <v>5</v>
      </c>
      <c r="H170" s="4">
        <v>7</v>
      </c>
      <c r="I170" s="4">
        <v>4</v>
      </c>
      <c r="J170" s="4">
        <v>4</v>
      </c>
      <c r="K170" s="4"/>
      <c r="L170" s="4"/>
      <c r="M170" s="4">
        <v>7</v>
      </c>
      <c r="N170" s="27">
        <f t="shared" si="14"/>
        <v>27</v>
      </c>
    </row>
    <row r="171" spans="1:14" x14ac:dyDescent="0.25">
      <c r="A171" s="1">
        <v>45827</v>
      </c>
      <c r="B171" s="2">
        <v>38326</v>
      </c>
      <c r="C171" s="3">
        <v>1.3910765994147423</v>
      </c>
      <c r="D171" s="3">
        <v>7.4597412602480997E-2</v>
      </c>
      <c r="E171" s="4">
        <f t="shared" si="8"/>
        <v>533.14401749169406</v>
      </c>
      <c r="F171" s="4">
        <f t="shared" si="9"/>
        <v>28.59020435402687</v>
      </c>
      <c r="G171" s="4">
        <v>5</v>
      </c>
      <c r="H171" s="4">
        <v>7</v>
      </c>
      <c r="I171" s="4">
        <v>4</v>
      </c>
      <c r="J171" s="4">
        <v>4</v>
      </c>
      <c r="K171" s="4"/>
      <c r="L171" s="4"/>
      <c r="M171" s="4">
        <v>7</v>
      </c>
      <c r="N171" s="27">
        <f t="shared" si="14"/>
        <v>27</v>
      </c>
    </row>
    <row r="172" spans="1:14" x14ac:dyDescent="0.25">
      <c r="A172" s="1">
        <v>45828</v>
      </c>
      <c r="B172" s="2">
        <v>36454</v>
      </c>
      <c r="C172" s="3">
        <v>1.3910765994147423</v>
      </c>
      <c r="D172" s="3">
        <v>7.4597412602480997E-2</v>
      </c>
      <c r="E172" s="4">
        <f t="shared" si="8"/>
        <v>507.10306355065012</v>
      </c>
      <c r="F172" s="4">
        <f t="shared" si="9"/>
        <v>27.193740790108421</v>
      </c>
      <c r="G172" s="4">
        <v>5</v>
      </c>
      <c r="H172" s="4">
        <v>7</v>
      </c>
      <c r="I172" s="4">
        <v>4</v>
      </c>
      <c r="J172" s="4">
        <v>4</v>
      </c>
      <c r="K172" s="4"/>
      <c r="L172" s="4"/>
      <c r="M172" s="4">
        <v>7</v>
      </c>
      <c r="N172" s="27">
        <f t="shared" si="14"/>
        <v>27</v>
      </c>
    </row>
    <row r="173" spans="1:14" x14ac:dyDescent="0.25">
      <c r="A173" s="1">
        <v>45829</v>
      </c>
      <c r="B173" s="2">
        <v>35472</v>
      </c>
      <c r="C173" s="3">
        <v>1.3910765994147423</v>
      </c>
      <c r="D173" s="3">
        <v>7.4597412602480997E-2</v>
      </c>
      <c r="E173" s="4">
        <f t="shared" si="8"/>
        <v>493.44269134439742</v>
      </c>
      <c r="F173" s="4">
        <f t="shared" si="9"/>
        <v>26.461194198352061</v>
      </c>
      <c r="G173" s="4">
        <v>5</v>
      </c>
      <c r="H173" s="4">
        <v>7</v>
      </c>
      <c r="I173" s="4">
        <v>4</v>
      </c>
      <c r="J173" s="4">
        <v>4</v>
      </c>
      <c r="K173" s="4"/>
      <c r="L173" s="4"/>
      <c r="M173" s="4">
        <v>7</v>
      </c>
      <c r="N173" s="27">
        <f t="shared" si="14"/>
        <v>27</v>
      </c>
    </row>
    <row r="174" spans="1:14" x14ac:dyDescent="0.25">
      <c r="A174" s="1">
        <v>45830</v>
      </c>
      <c r="B174" s="2">
        <v>36197</v>
      </c>
      <c r="C174" s="3">
        <v>1.3910765994147423</v>
      </c>
      <c r="D174" s="3">
        <v>7.4597412602480997E-2</v>
      </c>
      <c r="E174" s="4">
        <f t="shared" si="8"/>
        <v>503.52799669015423</v>
      </c>
      <c r="F174" s="4">
        <f t="shared" si="9"/>
        <v>27.002025439720047</v>
      </c>
      <c r="G174" s="4">
        <v>5</v>
      </c>
      <c r="H174" s="4">
        <v>7</v>
      </c>
      <c r="I174" s="4">
        <v>4</v>
      </c>
      <c r="J174" s="4">
        <v>5</v>
      </c>
      <c r="K174" s="4"/>
      <c r="L174" s="4"/>
      <c r="M174" s="4">
        <v>7</v>
      </c>
      <c r="N174" s="27">
        <f t="shared" si="14"/>
        <v>28</v>
      </c>
    </row>
    <row r="175" spans="1:14" x14ac:dyDescent="0.25">
      <c r="A175" s="1">
        <v>45831</v>
      </c>
      <c r="B175" s="2">
        <v>36928</v>
      </c>
      <c r="C175" s="3">
        <v>1.3910765994147423</v>
      </c>
      <c r="D175" s="3">
        <v>7.4597412602480997E-2</v>
      </c>
      <c r="E175" s="4">
        <f t="shared" si="8"/>
        <v>513.69676663187602</v>
      </c>
      <c r="F175" s="4">
        <f t="shared" si="9"/>
        <v>27.54733252584418</v>
      </c>
      <c r="G175" s="4">
        <v>5</v>
      </c>
      <c r="H175" s="4">
        <v>7</v>
      </c>
      <c r="I175" s="4">
        <v>4</v>
      </c>
      <c r="J175" s="4">
        <v>5</v>
      </c>
      <c r="K175" s="4"/>
      <c r="L175" s="4"/>
      <c r="M175" s="4">
        <v>7</v>
      </c>
      <c r="N175" s="27">
        <f t="shared" si="14"/>
        <v>28</v>
      </c>
    </row>
    <row r="176" spans="1:14" x14ac:dyDescent="0.25">
      <c r="A176" s="1">
        <v>45832</v>
      </c>
      <c r="B176" s="2">
        <v>38266</v>
      </c>
      <c r="C176" s="3">
        <v>1.3910765994147423</v>
      </c>
      <c r="D176" s="3">
        <v>7.4597412602480997E-2</v>
      </c>
      <c r="E176" s="4">
        <f t="shared" si="8"/>
        <v>532.30937153204525</v>
      </c>
      <c r="F176" s="4">
        <f t="shared" si="9"/>
        <v>28.545445906465378</v>
      </c>
      <c r="G176" s="4">
        <v>5</v>
      </c>
      <c r="H176" s="4">
        <v>7</v>
      </c>
      <c r="I176" s="4">
        <v>4</v>
      </c>
      <c r="J176" s="4">
        <v>5</v>
      </c>
      <c r="K176" s="4"/>
      <c r="L176" s="4"/>
      <c r="M176" s="4">
        <v>7</v>
      </c>
      <c r="N176" s="27">
        <f t="shared" si="14"/>
        <v>28</v>
      </c>
    </row>
    <row r="177" spans="1:14" x14ac:dyDescent="0.25">
      <c r="A177" s="1">
        <v>45833</v>
      </c>
      <c r="B177" s="2">
        <v>34998</v>
      </c>
      <c r="C177" s="3">
        <v>1.4834590459314094</v>
      </c>
      <c r="D177" s="3">
        <v>7.409065242823798E-2</v>
      </c>
      <c r="E177" s="4">
        <f t="shared" si="8"/>
        <v>519.1809968950746</v>
      </c>
      <c r="F177" s="4">
        <f t="shared" si="9"/>
        <v>25.93024653683473</v>
      </c>
      <c r="G177" s="4">
        <v>4</v>
      </c>
      <c r="H177" s="4">
        <v>7</v>
      </c>
      <c r="I177" s="4">
        <v>4</v>
      </c>
      <c r="J177" s="4">
        <v>5</v>
      </c>
      <c r="K177" s="4"/>
      <c r="L177" s="4"/>
      <c r="M177" s="4">
        <v>7</v>
      </c>
      <c r="N177" s="27">
        <f t="shared" si="14"/>
        <v>27</v>
      </c>
    </row>
    <row r="178" spans="1:14" x14ac:dyDescent="0.25">
      <c r="A178" s="1">
        <v>45834</v>
      </c>
      <c r="B178" s="2">
        <v>37764</v>
      </c>
      <c r="C178" s="3">
        <v>1.4685699832315759</v>
      </c>
      <c r="D178" s="3">
        <v>7.2340248748627892E-2</v>
      </c>
      <c r="E178" s="4">
        <f t="shared" si="8"/>
        <v>554.59076846757239</v>
      </c>
      <c r="F178" s="4">
        <f t="shared" si="9"/>
        <v>27.318571537431836</v>
      </c>
      <c r="G178" s="4">
        <v>4</v>
      </c>
      <c r="H178" s="4">
        <v>7</v>
      </c>
      <c r="I178" s="4">
        <v>4</v>
      </c>
      <c r="J178" s="4">
        <v>5</v>
      </c>
      <c r="K178" s="4"/>
      <c r="L178" s="4"/>
      <c r="M178" s="4">
        <v>7</v>
      </c>
      <c r="N178" s="27">
        <f t="shared" si="14"/>
        <v>27</v>
      </c>
    </row>
    <row r="179" spans="1:14" x14ac:dyDescent="0.25">
      <c r="A179" s="1">
        <v>45835</v>
      </c>
      <c r="B179" s="2">
        <v>35778.33230733416</v>
      </c>
      <c r="C179" s="3">
        <v>1.4685699832315759</v>
      </c>
      <c r="D179" s="3">
        <v>7.2340248748627892E-2</v>
      </c>
      <c r="E179" s="4">
        <f t="shared" si="8"/>
        <v>525.42984876635478</v>
      </c>
      <c r="F179" s="4">
        <f t="shared" si="9"/>
        <v>25.88213458923623</v>
      </c>
      <c r="G179" s="4">
        <v>4</v>
      </c>
      <c r="H179" s="4">
        <v>7</v>
      </c>
      <c r="I179" s="4">
        <v>4</v>
      </c>
      <c r="J179" s="4">
        <v>5</v>
      </c>
      <c r="K179" s="4"/>
      <c r="L179" s="4"/>
      <c r="M179" s="4">
        <v>7</v>
      </c>
      <c r="N179" s="27">
        <f t="shared" si="14"/>
        <v>27</v>
      </c>
    </row>
    <row r="180" spans="1:14" x14ac:dyDescent="0.25">
      <c r="A180" s="1">
        <v>45836</v>
      </c>
      <c r="B180" s="2">
        <v>43028.960646831481</v>
      </c>
      <c r="C180" s="3">
        <v>1.4666842318623408</v>
      </c>
      <c r="D180" s="3">
        <v>7.8979942267043524E-2</v>
      </c>
      <c r="E180" s="4">
        <f t="shared" si="8"/>
        <v>631.09898094132916</v>
      </c>
      <c r="F180" s="4">
        <f t="shared" si="9"/>
        <v>33.984248276976381</v>
      </c>
      <c r="G180" s="4">
        <v>5</v>
      </c>
      <c r="H180" s="4">
        <v>7</v>
      </c>
      <c r="I180" s="4">
        <v>4</v>
      </c>
      <c r="J180" s="4">
        <v>6</v>
      </c>
      <c r="K180" s="4"/>
      <c r="L180" s="4"/>
      <c r="M180" s="4">
        <v>7</v>
      </c>
      <c r="N180" s="27">
        <f t="shared" si="14"/>
        <v>29</v>
      </c>
    </row>
    <row r="181" spans="1:14" x14ac:dyDescent="0.25">
      <c r="A181" s="1">
        <v>45837</v>
      </c>
      <c r="B181" s="2">
        <v>38937.142331952804</v>
      </c>
      <c r="C181" s="3">
        <v>1.4666842318623408</v>
      </c>
      <c r="D181" s="3">
        <v>7.8979942267043524E-2</v>
      </c>
      <c r="E181" s="4">
        <f t="shared" si="8"/>
        <v>571.08492692054836</v>
      </c>
      <c r="F181" s="4">
        <f t="shared" si="9"/>
        <v>30.752532534212886</v>
      </c>
      <c r="G181" s="4">
        <v>4</v>
      </c>
      <c r="H181" s="4">
        <v>7</v>
      </c>
      <c r="I181" s="4">
        <v>4</v>
      </c>
      <c r="J181" s="4">
        <v>6</v>
      </c>
      <c r="K181" s="4"/>
      <c r="L181" s="4"/>
      <c r="M181" s="4">
        <v>4</v>
      </c>
      <c r="N181" s="27">
        <f t="shared" si="14"/>
        <v>25</v>
      </c>
    </row>
    <row r="182" spans="1:14" x14ac:dyDescent="0.25">
      <c r="A182" s="1">
        <v>45838</v>
      </c>
      <c r="B182" s="2">
        <v>36596.734129279364</v>
      </c>
      <c r="C182" s="3">
        <v>1.4666842318623408</v>
      </c>
      <c r="D182" s="3">
        <v>7.8979942267043524E-2</v>
      </c>
      <c r="E182" s="4">
        <f t="shared" si="8"/>
        <v>536.75852885072413</v>
      </c>
      <c r="F182" s="4">
        <f t="shared" si="9"/>
        <v>28.904079486928254</v>
      </c>
      <c r="G182" s="4">
        <v>4</v>
      </c>
      <c r="H182" s="4">
        <v>7</v>
      </c>
      <c r="I182" s="4">
        <v>4</v>
      </c>
      <c r="J182" s="4">
        <v>6</v>
      </c>
      <c r="K182" s="4"/>
      <c r="L182" s="4"/>
      <c r="M182" s="4">
        <v>4</v>
      </c>
      <c r="N182" s="27">
        <f t="shared" si="14"/>
        <v>25</v>
      </c>
    </row>
    <row r="183" spans="1:14" x14ac:dyDescent="0.25">
      <c r="A183" s="1">
        <v>45839</v>
      </c>
      <c r="B183" s="2">
        <v>40163.916827199879</v>
      </c>
      <c r="C183" s="3">
        <v>1.4796749940736742</v>
      </c>
      <c r="D183" s="3">
        <v>8.0174663088865797E-2</v>
      </c>
      <c r="E183" s="4">
        <f t="shared" si="8"/>
        <v>594.2954339326252</v>
      </c>
      <c r="F183" s="4">
        <f t="shared" si="9"/>
        <v>32.201284999499784</v>
      </c>
      <c r="G183" s="4">
        <v>5</v>
      </c>
      <c r="H183" s="4">
        <v>7</v>
      </c>
      <c r="I183" s="4">
        <v>4</v>
      </c>
      <c r="J183" s="4">
        <v>5</v>
      </c>
      <c r="K183" s="4"/>
      <c r="L183" s="4"/>
      <c r="M183" s="4">
        <v>6</v>
      </c>
      <c r="N183" s="27">
        <f t="shared" si="14"/>
        <v>27</v>
      </c>
    </row>
    <row r="184" spans="1:14" x14ac:dyDescent="0.25">
      <c r="A184" s="1">
        <v>45840</v>
      </c>
      <c r="B184" s="2">
        <v>40042.492919338998</v>
      </c>
      <c r="C184" s="3">
        <v>1.4661841151122665</v>
      </c>
      <c r="D184" s="3">
        <v>8.3010631259765474E-2</v>
      </c>
      <c r="E184" s="4">
        <f t="shared" si="8"/>
        <v>587.09667047830249</v>
      </c>
      <c r="F184" s="4">
        <f t="shared" si="9"/>
        <v>33.239526144490199</v>
      </c>
      <c r="G184" s="4">
        <v>5</v>
      </c>
      <c r="H184" s="4">
        <v>7</v>
      </c>
      <c r="I184" s="4">
        <v>4</v>
      </c>
      <c r="J184" s="4">
        <v>5</v>
      </c>
      <c r="K184" s="4"/>
      <c r="L184" s="4"/>
      <c r="M184" s="4">
        <v>6</v>
      </c>
      <c r="N184" s="27">
        <f t="shared" si="14"/>
        <v>27</v>
      </c>
    </row>
    <row r="185" spans="1:14" x14ac:dyDescent="0.25">
      <c r="A185" s="1">
        <v>45841</v>
      </c>
      <c r="B185" s="2">
        <v>37121</v>
      </c>
      <c r="C185" s="3">
        <v>1.4661841151122665</v>
      </c>
      <c r="D185" s="3">
        <v>8.3010631259765474E-2</v>
      </c>
      <c r="E185" s="4">
        <f t="shared" si="8"/>
        <v>544.2622053708244</v>
      </c>
      <c r="F185" s="4">
        <f t="shared" si="9"/>
        <v>30.814376429937543</v>
      </c>
      <c r="G185" s="4">
        <v>5</v>
      </c>
      <c r="H185" s="4">
        <v>7</v>
      </c>
      <c r="I185" s="4">
        <v>4</v>
      </c>
      <c r="J185" s="4">
        <v>5</v>
      </c>
      <c r="K185" s="4"/>
      <c r="L185" s="4"/>
      <c r="M185" s="4">
        <v>6</v>
      </c>
      <c r="N185" s="27">
        <f t="shared" si="14"/>
        <v>27</v>
      </c>
    </row>
    <row r="186" spans="1:14" x14ac:dyDescent="0.25">
      <c r="A186" s="1">
        <v>45842</v>
      </c>
      <c r="B186" s="2">
        <v>36319.430356122379</v>
      </c>
      <c r="C186" s="3">
        <v>1.4289832070975281</v>
      </c>
      <c r="D186" s="3">
        <v>8.586596269082368E-2</v>
      </c>
      <c r="E186" s="4">
        <f t="shared" si="8"/>
        <v>518.99856070247074</v>
      </c>
      <c r="F186" s="4">
        <f t="shared" si="9"/>
        <v>31.18602851910773</v>
      </c>
      <c r="G186" s="4">
        <v>4</v>
      </c>
      <c r="H186" s="4">
        <v>7</v>
      </c>
      <c r="I186" s="4">
        <v>4</v>
      </c>
      <c r="J186" s="4">
        <v>6</v>
      </c>
      <c r="K186" s="4"/>
      <c r="L186" s="4"/>
      <c r="M186" s="4">
        <v>6</v>
      </c>
      <c r="N186" s="27">
        <f t="shared" si="14"/>
        <v>27</v>
      </c>
    </row>
    <row r="187" spans="1:14" x14ac:dyDescent="0.25">
      <c r="A187" s="1">
        <v>45843</v>
      </c>
      <c r="B187" s="2">
        <v>36640.176379525561</v>
      </c>
      <c r="C187" s="3">
        <v>1.3919072595191837</v>
      </c>
      <c r="D187" s="3">
        <v>8.0911334392217038E-2</v>
      </c>
      <c r="E187" s="4">
        <f t="shared" si="8"/>
        <v>509.99727492724952</v>
      </c>
      <c r="F187" s="4">
        <f t="shared" si="9"/>
        <v>29.646055632336047</v>
      </c>
      <c r="G187" s="4">
        <v>4</v>
      </c>
      <c r="H187" s="4">
        <v>7</v>
      </c>
      <c r="I187" s="4">
        <v>4</v>
      </c>
      <c r="J187" s="4">
        <v>6</v>
      </c>
      <c r="K187" s="4"/>
      <c r="L187" s="4"/>
      <c r="M187" s="4">
        <v>6</v>
      </c>
      <c r="N187" s="27">
        <f t="shared" si="14"/>
        <v>27</v>
      </c>
    </row>
    <row r="188" spans="1:14" x14ac:dyDescent="0.25">
      <c r="A188" s="1">
        <v>45844</v>
      </c>
      <c r="B188" s="28">
        <v>35400.226316485619</v>
      </c>
      <c r="C188" s="3">
        <v>1.4290595570832947</v>
      </c>
      <c r="D188" s="3">
        <v>8.5417792466344206E-2</v>
      </c>
      <c r="E188" s="4">
        <f t="shared" si="8"/>
        <v>505.89031740485336</v>
      </c>
      <c r="F188" s="4">
        <f t="shared" si="9"/>
        <v>30.238091847631853</v>
      </c>
      <c r="G188" s="4">
        <v>4</v>
      </c>
      <c r="H188" s="4">
        <v>6</v>
      </c>
      <c r="I188" s="4">
        <v>4</v>
      </c>
      <c r="J188" s="4">
        <v>0</v>
      </c>
      <c r="K188" s="4"/>
      <c r="L188" s="4"/>
      <c r="M188" s="4">
        <v>7</v>
      </c>
      <c r="N188" s="27">
        <f t="shared" ref="N188:N189" si="15">+SUM(G188:M188)</f>
        <v>21</v>
      </c>
    </row>
    <row r="189" spans="1:14" x14ac:dyDescent="0.25">
      <c r="A189" s="1">
        <v>45845</v>
      </c>
      <c r="B189" s="28">
        <v>36498.350134653228</v>
      </c>
      <c r="C189" s="3">
        <v>1.462499661802716</v>
      </c>
      <c r="D189" s="3">
        <v>8.7250887783026504E-2</v>
      </c>
      <c r="E189" s="4">
        <f t="shared" si="8"/>
        <v>533.78824728287464</v>
      </c>
      <c r="F189" s="4">
        <f t="shared" si="9"/>
        <v>31.845134518642389</v>
      </c>
      <c r="G189" s="5">
        <v>5</v>
      </c>
      <c r="H189" s="5">
        <v>6</v>
      </c>
      <c r="I189" s="5">
        <v>4</v>
      </c>
      <c r="J189" s="5">
        <v>0</v>
      </c>
      <c r="K189" s="5"/>
      <c r="L189" s="5"/>
      <c r="M189" s="5">
        <v>7</v>
      </c>
      <c r="N189" s="27">
        <f t="shared" si="15"/>
        <v>22</v>
      </c>
    </row>
    <row r="190" spans="1:14" x14ac:dyDescent="0.25">
      <c r="A190" s="1">
        <v>45846</v>
      </c>
      <c r="B190" s="28">
        <v>36219.915890733952</v>
      </c>
      <c r="C190" s="3">
        <v>1.462499661802716</v>
      </c>
      <c r="D190" s="3">
        <v>8.7250887783026504E-2</v>
      </c>
      <c r="E190" s="4">
        <f t="shared" si="8"/>
        <v>529.71614740721225</v>
      </c>
      <c r="F190" s="4">
        <f t="shared" si="9"/>
        <v>31.602198168930862</v>
      </c>
      <c r="G190" s="5">
        <v>6</v>
      </c>
      <c r="H190" s="5">
        <v>6</v>
      </c>
      <c r="I190" s="5">
        <v>4</v>
      </c>
      <c r="J190" s="5">
        <v>0</v>
      </c>
      <c r="K190" s="5"/>
      <c r="L190" s="5"/>
      <c r="M190" s="5">
        <v>7</v>
      </c>
      <c r="N190" s="27">
        <f t="shared" ref="N190:N195" si="16">+SUM(G190:M190)</f>
        <v>23</v>
      </c>
    </row>
    <row r="191" spans="1:14" x14ac:dyDescent="0.25">
      <c r="A191" s="1">
        <v>45847</v>
      </c>
      <c r="B191" s="28">
        <v>32642.236102211122</v>
      </c>
      <c r="C191" s="3">
        <v>1.462499661802716</v>
      </c>
      <c r="D191" s="3">
        <v>8.7250887783026504E-2</v>
      </c>
      <c r="E191" s="4">
        <f t="shared" si="8"/>
        <v>477.39259259968173</v>
      </c>
      <c r="F191" s="4">
        <f t="shared" si="9"/>
        <v>28.480640791410792</v>
      </c>
      <c r="G191" s="5">
        <v>6</v>
      </c>
      <c r="H191" s="5">
        <v>6</v>
      </c>
      <c r="I191" s="5">
        <v>4</v>
      </c>
      <c r="J191" s="5">
        <v>0</v>
      </c>
      <c r="K191" s="5"/>
      <c r="L191" s="5"/>
      <c r="M191" s="5">
        <v>7</v>
      </c>
      <c r="N191" s="27">
        <f t="shared" si="16"/>
        <v>23</v>
      </c>
    </row>
    <row r="192" spans="1:14" x14ac:dyDescent="0.25">
      <c r="A192" s="1">
        <v>45848</v>
      </c>
      <c r="B192" s="28">
        <v>30427</v>
      </c>
      <c r="C192" s="3">
        <v>1.462499661802716</v>
      </c>
      <c r="D192" s="3">
        <v>8.7250887783026504E-2</v>
      </c>
      <c r="E192" s="4">
        <f t="shared" si="8"/>
        <v>444.99477209671238</v>
      </c>
      <c r="F192" s="4">
        <f t="shared" si="9"/>
        <v>26.547827625741476</v>
      </c>
      <c r="G192" s="5">
        <v>6</v>
      </c>
      <c r="H192" s="5">
        <v>6</v>
      </c>
      <c r="I192" s="5">
        <v>4</v>
      </c>
      <c r="J192" s="5">
        <v>0</v>
      </c>
      <c r="K192" s="5"/>
      <c r="L192" s="5"/>
      <c r="M192" s="5">
        <v>7</v>
      </c>
      <c r="N192" s="27">
        <f t="shared" si="16"/>
        <v>23</v>
      </c>
    </row>
    <row r="193" spans="1:14" x14ac:dyDescent="0.25">
      <c r="A193" s="1">
        <v>45849</v>
      </c>
      <c r="B193" s="28">
        <v>32795</v>
      </c>
      <c r="C193" s="3">
        <v>1.462499661802716</v>
      </c>
      <c r="D193" s="3">
        <v>8.7250887783026504E-2</v>
      </c>
      <c r="E193" s="4">
        <f t="shared" si="8"/>
        <v>479.62676408820073</v>
      </c>
      <c r="F193" s="4">
        <f t="shared" si="9"/>
        <v>28.613928648443544</v>
      </c>
      <c r="G193" s="5">
        <v>6</v>
      </c>
      <c r="H193" s="5">
        <v>6</v>
      </c>
      <c r="I193" s="5">
        <v>4</v>
      </c>
      <c r="J193" s="5">
        <v>0</v>
      </c>
      <c r="K193" s="5"/>
      <c r="L193" s="5"/>
      <c r="M193" s="5">
        <v>7</v>
      </c>
      <c r="N193" s="27">
        <f t="shared" si="16"/>
        <v>23</v>
      </c>
    </row>
    <row r="194" spans="1:14" x14ac:dyDescent="0.25">
      <c r="A194" s="1">
        <v>45850</v>
      </c>
      <c r="B194" s="28">
        <v>39014</v>
      </c>
      <c r="C194" s="3">
        <v>1.462499661802716</v>
      </c>
      <c r="D194" s="3">
        <v>8.7250887783026504E-2</v>
      </c>
      <c r="E194" s="4">
        <f t="shared" ref="E194:E213" si="17">+C194*B194/100</f>
        <v>570.57961805571165</v>
      </c>
      <c r="F194" s="4">
        <f t="shared" ref="F194:F213" si="18">+D194*B194/100</f>
        <v>34.040061359669963</v>
      </c>
      <c r="G194" s="5">
        <v>6</v>
      </c>
      <c r="H194" s="5">
        <v>6</v>
      </c>
      <c r="I194" s="5">
        <v>4</v>
      </c>
      <c r="J194" s="5">
        <v>6</v>
      </c>
      <c r="K194" s="5"/>
      <c r="L194" s="5"/>
      <c r="M194" s="5">
        <v>7</v>
      </c>
      <c r="N194" s="27">
        <f t="shared" si="16"/>
        <v>29</v>
      </c>
    </row>
    <row r="195" spans="1:14" x14ac:dyDescent="0.25">
      <c r="A195" s="1">
        <v>45851</v>
      </c>
      <c r="B195" s="28">
        <v>40323</v>
      </c>
      <c r="C195" s="3">
        <v>1.5161802719999999</v>
      </c>
      <c r="D195" s="3">
        <v>8.6125499999999994E-2</v>
      </c>
      <c r="E195" s="4">
        <f t="shared" si="17"/>
        <v>611.36937107855999</v>
      </c>
      <c r="F195" s="4">
        <f t="shared" si="18"/>
        <v>34.728385365000001</v>
      </c>
      <c r="G195" s="5">
        <v>6</v>
      </c>
      <c r="H195" s="5">
        <v>6</v>
      </c>
      <c r="I195" s="5">
        <v>4</v>
      </c>
      <c r="J195" s="5">
        <v>6</v>
      </c>
      <c r="K195" s="5"/>
      <c r="L195" s="5"/>
      <c r="M195" s="5">
        <v>7</v>
      </c>
      <c r="N195" s="27">
        <f t="shared" si="16"/>
        <v>29</v>
      </c>
    </row>
    <row r="196" spans="1:14" x14ac:dyDescent="0.25">
      <c r="A196" s="1">
        <v>45852</v>
      </c>
      <c r="B196" s="28">
        <v>37241</v>
      </c>
      <c r="C196" s="3">
        <v>1.5161802719999999</v>
      </c>
      <c r="D196" s="3">
        <v>8.6125499999999994E-2</v>
      </c>
      <c r="E196" s="4">
        <f t="shared" si="17"/>
        <v>564.64069509551996</v>
      </c>
      <c r="F196" s="4">
        <f t="shared" si="18"/>
        <v>32.073997454999997</v>
      </c>
      <c r="G196" s="5">
        <v>6</v>
      </c>
      <c r="H196" s="5">
        <v>6</v>
      </c>
      <c r="I196" s="5">
        <v>4</v>
      </c>
      <c r="J196" s="5">
        <v>6</v>
      </c>
      <c r="K196" s="5"/>
      <c r="L196" s="5"/>
      <c r="M196" s="5">
        <v>7</v>
      </c>
      <c r="N196" s="27">
        <f t="shared" si="14"/>
        <v>29</v>
      </c>
    </row>
    <row r="197" spans="1:14" x14ac:dyDescent="0.25">
      <c r="A197" s="29">
        <v>45853</v>
      </c>
      <c r="B197" s="30">
        <v>39689</v>
      </c>
      <c r="C197" s="31">
        <v>1.5161802719999999</v>
      </c>
      <c r="D197" s="31">
        <v>8.6125499999999994E-2</v>
      </c>
      <c r="E197" s="32">
        <f t="shared" si="17"/>
        <v>601.75678815408003</v>
      </c>
      <c r="F197" s="32">
        <f t="shared" si="18"/>
        <v>34.182349694999999</v>
      </c>
      <c r="G197" s="20">
        <v>6</v>
      </c>
      <c r="H197" s="20">
        <v>6</v>
      </c>
      <c r="I197" s="20">
        <v>4</v>
      </c>
      <c r="J197" s="20">
        <v>6</v>
      </c>
      <c r="K197" s="20"/>
      <c r="L197" s="20"/>
      <c r="M197" s="20">
        <v>7</v>
      </c>
      <c r="N197" s="20">
        <f t="shared" ref="N197:N198" si="19">+SUM(G197:M197)</f>
        <v>29</v>
      </c>
    </row>
    <row r="198" spans="1:14" x14ac:dyDescent="0.25">
      <c r="A198" s="29">
        <v>45854</v>
      </c>
      <c r="B198" s="30">
        <v>40588.193279445346</v>
      </c>
      <c r="C198" s="31">
        <v>1.5161802719999999</v>
      </c>
      <c r="D198" s="31">
        <v>8.6125499999999994E-2</v>
      </c>
      <c r="E198" s="32">
        <f t="shared" si="17"/>
        <v>615.39017926418012</v>
      </c>
      <c r="F198" s="32">
        <f t="shared" si="18"/>
        <v>34.956784402888701</v>
      </c>
      <c r="G198" s="20">
        <v>6</v>
      </c>
      <c r="H198" s="20">
        <v>6</v>
      </c>
      <c r="I198" s="20">
        <v>4</v>
      </c>
      <c r="J198" s="20">
        <v>6</v>
      </c>
      <c r="K198" s="20"/>
      <c r="L198" s="20"/>
      <c r="M198" s="20">
        <v>7</v>
      </c>
      <c r="N198" s="20">
        <f t="shared" si="19"/>
        <v>29</v>
      </c>
    </row>
    <row r="199" spans="1:14" x14ac:dyDescent="0.25">
      <c r="A199" s="29">
        <v>45855</v>
      </c>
      <c r="B199" s="30">
        <v>43001.09800578827</v>
      </c>
      <c r="C199" s="31">
        <v>1.4974743984587457</v>
      </c>
      <c r="D199" s="31">
        <v>8.3668560510829659E-2</v>
      </c>
      <c r="E199" s="32">
        <f t="shared" si="17"/>
        <v>643.93043369283362</v>
      </c>
      <c r="F199" s="32">
        <f t="shared" si="18"/>
        <v>35.978399705294123</v>
      </c>
      <c r="G199" s="20">
        <v>6</v>
      </c>
      <c r="H199" s="20">
        <v>6</v>
      </c>
      <c r="I199" s="20">
        <v>4</v>
      </c>
      <c r="J199" s="20">
        <v>6</v>
      </c>
      <c r="K199" s="20"/>
      <c r="L199" s="20"/>
      <c r="M199" s="20">
        <v>7</v>
      </c>
      <c r="N199" s="20">
        <f t="shared" ref="N199:N200" si="20">+SUM(G199:M199)</f>
        <v>29</v>
      </c>
    </row>
    <row r="200" spans="1:14" x14ac:dyDescent="0.25">
      <c r="A200" s="29">
        <v>45856</v>
      </c>
      <c r="B200" s="30">
        <v>41912.00518372919</v>
      </c>
      <c r="C200" s="31">
        <v>1.4662459130052228</v>
      </c>
      <c r="D200" s="31">
        <v>8.1881233301032044E-2</v>
      </c>
      <c r="E200" s="32">
        <f t="shared" si="17"/>
        <v>614.53306306496631</v>
      </c>
      <c r="F200" s="32">
        <f t="shared" si="18"/>
        <v>34.318066745629942</v>
      </c>
      <c r="G200" s="20">
        <v>6</v>
      </c>
      <c r="H200" s="20">
        <v>6</v>
      </c>
      <c r="I200" s="20">
        <v>4</v>
      </c>
      <c r="J200" s="20">
        <v>6</v>
      </c>
      <c r="K200" s="20"/>
      <c r="L200" s="20"/>
      <c r="M200" s="20">
        <v>7</v>
      </c>
      <c r="N200" s="20">
        <f t="shared" si="20"/>
        <v>29</v>
      </c>
    </row>
    <row r="201" spans="1:14" x14ac:dyDescent="0.25">
      <c r="A201" s="29">
        <v>45857</v>
      </c>
      <c r="B201" s="30">
        <v>42101.936613450707</v>
      </c>
      <c r="C201" s="31">
        <v>1.4469027323223589</v>
      </c>
      <c r="D201" s="31">
        <v>8.246775592563485E-2</v>
      </c>
      <c r="E201" s="32">
        <f t="shared" si="17"/>
        <v>609.17407122064594</v>
      </c>
      <c r="F201" s="32">
        <f t="shared" si="18"/>
        <v>34.720522326346021</v>
      </c>
      <c r="G201" s="20">
        <v>6</v>
      </c>
      <c r="H201" s="20">
        <v>6</v>
      </c>
      <c r="I201" s="20">
        <v>4</v>
      </c>
      <c r="J201" s="20">
        <v>6</v>
      </c>
      <c r="K201" s="20"/>
      <c r="L201" s="20"/>
      <c r="M201" s="20">
        <v>7</v>
      </c>
      <c r="N201" s="20">
        <f t="shared" ref="N201" si="21">+SUM(G201:M201)</f>
        <v>29</v>
      </c>
    </row>
    <row r="202" spans="1:14" x14ac:dyDescent="0.25">
      <c r="A202" s="33">
        <v>45858</v>
      </c>
      <c r="B202" s="34">
        <v>38961.864895508086</v>
      </c>
      <c r="C202" s="35">
        <v>1.4469027323223589</v>
      </c>
      <c r="D202" s="35">
        <v>8.246775592563485E-2</v>
      </c>
      <c r="E202" s="36">
        <f t="shared" si="17"/>
        <v>563.74028773685245</v>
      </c>
      <c r="F202" s="36">
        <f t="shared" si="18"/>
        <v>32.130975646103217</v>
      </c>
      <c r="G202" s="36">
        <v>6</v>
      </c>
      <c r="H202" s="36">
        <v>6</v>
      </c>
      <c r="I202" s="36">
        <v>4</v>
      </c>
      <c r="J202" s="36">
        <v>1</v>
      </c>
      <c r="K202" s="36"/>
      <c r="L202" s="36"/>
      <c r="M202" s="36">
        <v>4</v>
      </c>
      <c r="N202" s="36">
        <f t="shared" ref="N202:N203" si="22">+SUM(G202:M202)</f>
        <v>21</v>
      </c>
    </row>
    <row r="203" spans="1:14" x14ac:dyDescent="0.25">
      <c r="A203" s="33">
        <v>45859</v>
      </c>
      <c r="B203" s="34">
        <v>31965.064936281382</v>
      </c>
      <c r="C203" s="35">
        <v>1.5772309491560199</v>
      </c>
      <c r="D203" s="35">
        <v>8.3060118655834833E-2</v>
      </c>
      <c r="E203" s="36">
        <f t="shared" si="17"/>
        <v>504.16289709284894</v>
      </c>
      <c r="F203" s="36">
        <f t="shared" si="18"/>
        <v>26.550220864489969</v>
      </c>
      <c r="G203" s="36">
        <v>6</v>
      </c>
      <c r="H203" s="36">
        <v>6</v>
      </c>
      <c r="I203" s="36">
        <v>4</v>
      </c>
      <c r="J203" s="36">
        <v>1</v>
      </c>
      <c r="K203" s="36"/>
      <c r="L203" s="36"/>
      <c r="M203" s="36">
        <v>4</v>
      </c>
      <c r="N203" s="36">
        <f t="shared" si="22"/>
        <v>21</v>
      </c>
    </row>
    <row r="204" spans="1:14" x14ac:dyDescent="0.25">
      <c r="A204" s="33">
        <v>45860</v>
      </c>
      <c r="B204" s="34">
        <v>30783.708031366907</v>
      </c>
      <c r="C204" s="35">
        <v>1.5460478875471784</v>
      </c>
      <c r="D204" s="35">
        <v>7.8778144957427854E-2</v>
      </c>
      <c r="E204" s="36">
        <f t="shared" si="17"/>
        <v>475.93086772763911</v>
      </c>
      <c r="F204" s="36">
        <f t="shared" si="18"/>
        <v>24.250834136221584</v>
      </c>
      <c r="G204" s="36">
        <v>4</v>
      </c>
      <c r="H204" s="36">
        <v>6</v>
      </c>
      <c r="I204" s="36">
        <v>4</v>
      </c>
      <c r="J204" s="36">
        <v>1</v>
      </c>
      <c r="K204" s="36"/>
      <c r="L204" s="36"/>
      <c r="M204" s="36">
        <v>4</v>
      </c>
      <c r="N204" s="36">
        <f t="shared" si="14"/>
        <v>19</v>
      </c>
    </row>
    <row r="205" spans="1:14" x14ac:dyDescent="0.25">
      <c r="A205" s="33">
        <v>45861</v>
      </c>
      <c r="B205" s="34">
        <v>32688.211427764185</v>
      </c>
      <c r="C205" s="35">
        <v>1.5359224681752668</v>
      </c>
      <c r="D205" s="35">
        <v>7.597400100554709E-2</v>
      </c>
      <c r="E205" s="36">
        <f t="shared" si="17"/>
        <v>502.06558376366524</v>
      </c>
      <c r="F205" s="36">
        <f t="shared" si="18"/>
        <v>24.834542078824921</v>
      </c>
      <c r="G205" s="36">
        <v>3</v>
      </c>
      <c r="H205" s="36">
        <v>7</v>
      </c>
      <c r="I205" s="36">
        <v>4</v>
      </c>
      <c r="J205" s="36">
        <v>6</v>
      </c>
      <c r="K205" s="36"/>
      <c r="L205" s="36"/>
      <c r="M205" s="36">
        <v>4</v>
      </c>
      <c r="N205" s="36">
        <f t="shared" si="14"/>
        <v>24</v>
      </c>
    </row>
    <row r="206" spans="1:14" x14ac:dyDescent="0.25">
      <c r="A206" s="33">
        <v>45862</v>
      </c>
      <c r="B206" s="34">
        <v>31081.906539474767</v>
      </c>
      <c r="C206" s="35">
        <v>1.5359224681752668</v>
      </c>
      <c r="D206" s="35">
        <v>7.597400100554709E-2</v>
      </c>
      <c r="E206" s="36">
        <f t="shared" si="17"/>
        <v>477.39398607703049</v>
      </c>
      <c r="F206" s="36">
        <f t="shared" si="18"/>
        <v>23.614167986843768</v>
      </c>
      <c r="G206" s="36">
        <v>4</v>
      </c>
      <c r="H206" s="36">
        <v>7</v>
      </c>
      <c r="I206" s="36">
        <v>4</v>
      </c>
      <c r="J206" s="36">
        <v>6</v>
      </c>
      <c r="K206" s="36"/>
      <c r="L206" s="36"/>
      <c r="M206" s="36">
        <v>4</v>
      </c>
      <c r="N206" s="36">
        <f t="shared" si="14"/>
        <v>25</v>
      </c>
    </row>
    <row r="207" spans="1:14" x14ac:dyDescent="0.25">
      <c r="A207" s="33">
        <v>45863</v>
      </c>
      <c r="B207" s="34">
        <v>31494.943437378581</v>
      </c>
      <c r="C207" s="35">
        <v>1.5253393054156246</v>
      </c>
      <c r="D207" s="35">
        <v>7.6823965951934498E-2</v>
      </c>
      <c r="E207" s="36">
        <f t="shared" si="17"/>
        <v>480.40475146875428</v>
      </c>
      <c r="F207" s="36">
        <f t="shared" si="18"/>
        <v>24.195664622912751</v>
      </c>
      <c r="G207" s="36">
        <v>4</v>
      </c>
      <c r="H207" s="36">
        <v>7</v>
      </c>
      <c r="I207" s="36">
        <v>4</v>
      </c>
      <c r="J207" s="36">
        <v>6</v>
      </c>
      <c r="K207" s="36"/>
      <c r="L207" s="36"/>
      <c r="M207" s="36">
        <v>0</v>
      </c>
      <c r="N207" s="36">
        <f t="shared" si="14"/>
        <v>21</v>
      </c>
    </row>
    <row r="208" spans="1:14" x14ac:dyDescent="0.25">
      <c r="A208" s="33">
        <v>45864</v>
      </c>
      <c r="B208" s="34">
        <v>29711.324852606784</v>
      </c>
      <c r="C208" s="35">
        <v>1.5087465252223502</v>
      </c>
      <c r="D208" s="35">
        <v>7.5865671662465162E-2</v>
      </c>
      <c r="E208" s="36">
        <f t="shared" si="17"/>
        <v>448.26858131122941</v>
      </c>
      <c r="F208" s="36">
        <f t="shared" si="18"/>
        <v>22.540696159247073</v>
      </c>
      <c r="G208" s="36">
        <v>3</v>
      </c>
      <c r="H208" s="36">
        <v>7</v>
      </c>
      <c r="I208" s="36">
        <v>4</v>
      </c>
      <c r="J208" s="36">
        <v>6</v>
      </c>
      <c r="K208" s="36"/>
      <c r="L208" s="36"/>
      <c r="M208" s="36">
        <v>0</v>
      </c>
      <c r="N208" s="36">
        <f t="shared" si="14"/>
        <v>20</v>
      </c>
    </row>
    <row r="209" spans="1:14" x14ac:dyDescent="0.25">
      <c r="A209" s="33">
        <v>45865</v>
      </c>
      <c r="B209" s="34">
        <v>19969.699625906964</v>
      </c>
      <c r="C209" s="35">
        <v>1.4871272511300562</v>
      </c>
      <c r="D209" s="35">
        <v>7.6730971580670396E-2</v>
      </c>
      <c r="E209" s="36">
        <f t="shared" si="17"/>
        <v>296.97484510567932</v>
      </c>
      <c r="F209" s="36">
        <f t="shared" si="18"/>
        <v>15.322944544699915</v>
      </c>
      <c r="G209" s="36">
        <v>3</v>
      </c>
      <c r="H209" s="36">
        <v>7</v>
      </c>
      <c r="I209" s="36">
        <v>4</v>
      </c>
      <c r="J209" s="36">
        <v>6</v>
      </c>
      <c r="K209" s="36"/>
      <c r="L209" s="36"/>
      <c r="M209" s="36">
        <v>0</v>
      </c>
      <c r="N209" s="36">
        <f t="shared" si="14"/>
        <v>20</v>
      </c>
    </row>
    <row r="210" spans="1:14" x14ac:dyDescent="0.25">
      <c r="A210" s="33">
        <v>45866</v>
      </c>
      <c r="B210" s="34">
        <v>28529.597091322325</v>
      </c>
      <c r="C210" s="35">
        <v>1.4983300750832622</v>
      </c>
      <c r="D210" s="35">
        <v>7.5716016946102374E-2</v>
      </c>
      <c r="E210" s="36">
        <f t="shared" si="17"/>
        <v>427.46753351936195</v>
      </c>
      <c r="F210" s="36">
        <f t="shared" si="18"/>
        <v>21.601474568320342</v>
      </c>
      <c r="G210" s="36">
        <v>3</v>
      </c>
      <c r="H210" s="36">
        <v>7</v>
      </c>
      <c r="I210" s="36">
        <v>4</v>
      </c>
      <c r="J210" s="36">
        <v>6</v>
      </c>
      <c r="K210" s="36"/>
      <c r="L210" s="36"/>
      <c r="M210" s="36">
        <v>0</v>
      </c>
      <c r="N210" s="36">
        <f t="shared" si="14"/>
        <v>20</v>
      </c>
    </row>
    <row r="211" spans="1:14" x14ac:dyDescent="0.25">
      <c r="A211" s="33">
        <v>45867</v>
      </c>
      <c r="B211" s="34">
        <v>27270.672276795511</v>
      </c>
      <c r="C211" s="35">
        <v>1.5124300703167479</v>
      </c>
      <c r="D211" s="35">
        <v>7.4100723936341054E-2</v>
      </c>
      <c r="E211" s="36">
        <f t="shared" si="17"/>
        <v>412.44984789178824</v>
      </c>
      <c r="F211" s="36">
        <f t="shared" si="18"/>
        <v>20.207765579412534</v>
      </c>
      <c r="G211" s="36">
        <v>3</v>
      </c>
      <c r="H211" s="36">
        <v>7</v>
      </c>
      <c r="I211" s="36">
        <v>4</v>
      </c>
      <c r="J211" s="36">
        <v>6</v>
      </c>
      <c r="K211" s="36"/>
      <c r="L211" s="36"/>
      <c r="M211" s="36">
        <v>0</v>
      </c>
      <c r="N211" s="36">
        <f t="shared" si="14"/>
        <v>20</v>
      </c>
    </row>
    <row r="212" spans="1:14" x14ac:dyDescent="0.25">
      <c r="A212" s="33">
        <v>45868</v>
      </c>
      <c r="B212" s="34">
        <v>31004</v>
      </c>
      <c r="C212" s="35">
        <v>1.5124300703167479</v>
      </c>
      <c r="D212" s="35">
        <v>7.4100723936341054E-2</v>
      </c>
      <c r="E212" s="36">
        <f t="shared" si="17"/>
        <v>468.91381900100453</v>
      </c>
      <c r="F212" s="36">
        <f t="shared" si="18"/>
        <v>22.974188449223178</v>
      </c>
      <c r="G212" s="36">
        <v>3</v>
      </c>
      <c r="H212" s="36">
        <v>7</v>
      </c>
      <c r="I212" s="36">
        <v>4</v>
      </c>
      <c r="J212" s="36">
        <v>6</v>
      </c>
      <c r="K212" s="36"/>
      <c r="L212" s="36"/>
      <c r="M212" s="36">
        <v>0</v>
      </c>
      <c r="N212" s="36">
        <f t="shared" ref="N212:N213" si="23">+SUM(G212:M212)</f>
        <v>20</v>
      </c>
    </row>
    <row r="213" spans="1:14" x14ac:dyDescent="0.25">
      <c r="A213" s="33">
        <v>45869</v>
      </c>
      <c r="B213" s="34">
        <v>31167</v>
      </c>
      <c r="C213" s="35">
        <v>1.5124300703167479</v>
      </c>
      <c r="D213" s="35">
        <v>7.4100723936341054E-2</v>
      </c>
      <c r="E213" s="36">
        <f t="shared" si="17"/>
        <v>471.37908001562084</v>
      </c>
      <c r="F213" s="36">
        <f t="shared" si="18"/>
        <v>23.094972629239415</v>
      </c>
      <c r="G213" s="36">
        <v>3</v>
      </c>
      <c r="H213" s="36">
        <v>7</v>
      </c>
      <c r="I213" s="36">
        <v>4</v>
      </c>
      <c r="J213" s="36">
        <v>6</v>
      </c>
      <c r="K213" s="36"/>
      <c r="L213" s="36"/>
      <c r="M213" s="36">
        <v>0</v>
      </c>
      <c r="N213" s="36">
        <f>+SUM(G213:M213)</f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Fredy Porfirio Guarachi Laura</cp:lastModifiedBy>
  <dcterms:created xsi:type="dcterms:W3CDTF">2025-11-24T19:40:07Z</dcterms:created>
  <dcterms:modified xsi:type="dcterms:W3CDTF">2025-11-24T19:40:33Z</dcterms:modified>
</cp:coreProperties>
</file>