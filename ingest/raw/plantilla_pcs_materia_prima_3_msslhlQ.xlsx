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redy.guarachi\Downloads\"/>
    </mc:Choice>
  </mc:AlternateContent>
  <xr:revisionPtr revIDLastSave="0" documentId="13_ncr:1_{C86581EE-0E16-4BDB-96F0-BF00802DB39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0" i="1" l="1"/>
  <c r="F120" i="1"/>
  <c r="E120" i="1"/>
  <c r="N119" i="1"/>
  <c r="F119" i="1"/>
  <c r="E119" i="1"/>
  <c r="N118" i="1"/>
  <c r="F118" i="1"/>
  <c r="E118" i="1"/>
  <c r="N117" i="1"/>
  <c r="F117" i="1"/>
  <c r="E117" i="1"/>
  <c r="N116" i="1"/>
  <c r="F116" i="1"/>
  <c r="E116" i="1"/>
  <c r="N115" i="1"/>
  <c r="F115" i="1"/>
  <c r="E115" i="1"/>
  <c r="N114" i="1"/>
  <c r="F114" i="1"/>
  <c r="E114" i="1"/>
  <c r="N113" i="1"/>
  <c r="F113" i="1"/>
  <c r="E113" i="1"/>
  <c r="N112" i="1"/>
  <c r="F112" i="1"/>
  <c r="E112" i="1"/>
  <c r="N111" i="1"/>
  <c r="F111" i="1"/>
  <c r="E111" i="1"/>
  <c r="N110" i="1"/>
  <c r="F110" i="1"/>
  <c r="E110" i="1"/>
  <c r="N109" i="1"/>
  <c r="F109" i="1"/>
  <c r="E109" i="1"/>
  <c r="N108" i="1"/>
  <c r="F108" i="1"/>
  <c r="E108" i="1"/>
  <c r="N107" i="1"/>
  <c r="F107" i="1"/>
  <c r="E107" i="1"/>
  <c r="N106" i="1"/>
  <c r="F106" i="1"/>
  <c r="E106" i="1"/>
  <c r="N105" i="1"/>
  <c r="F105" i="1"/>
  <c r="E105" i="1"/>
  <c r="N104" i="1"/>
  <c r="F104" i="1"/>
  <c r="E104" i="1"/>
  <c r="N103" i="1"/>
  <c r="F103" i="1"/>
  <c r="E103" i="1"/>
  <c r="N102" i="1"/>
  <c r="F102" i="1"/>
  <c r="E102" i="1"/>
  <c r="N101" i="1"/>
  <c r="F101" i="1"/>
  <c r="E101" i="1"/>
  <c r="N100" i="1"/>
  <c r="F100" i="1"/>
  <c r="E100" i="1"/>
  <c r="N99" i="1"/>
  <c r="F99" i="1"/>
  <c r="E99" i="1"/>
  <c r="N98" i="1"/>
  <c r="F98" i="1"/>
  <c r="E98" i="1"/>
  <c r="N97" i="1"/>
  <c r="F97" i="1"/>
  <c r="E97" i="1"/>
  <c r="N96" i="1"/>
  <c r="F96" i="1"/>
  <c r="E96" i="1"/>
  <c r="N95" i="1"/>
  <c r="F95" i="1"/>
  <c r="E95" i="1"/>
  <c r="N94" i="1"/>
  <c r="F94" i="1"/>
  <c r="E94" i="1"/>
  <c r="N93" i="1"/>
  <c r="F93" i="1"/>
  <c r="E93" i="1"/>
  <c r="N92" i="1"/>
  <c r="F92" i="1"/>
  <c r="E92" i="1"/>
  <c r="N91" i="1"/>
  <c r="F91" i="1"/>
  <c r="E91" i="1"/>
  <c r="N90" i="1"/>
  <c r="F90" i="1"/>
  <c r="E90" i="1"/>
  <c r="N89" i="1"/>
  <c r="F89" i="1"/>
  <c r="E89" i="1"/>
  <c r="N88" i="1"/>
  <c r="F88" i="1"/>
  <c r="E88" i="1"/>
  <c r="N87" i="1"/>
  <c r="F87" i="1"/>
  <c r="E87" i="1"/>
  <c r="N86" i="1"/>
  <c r="F86" i="1"/>
  <c r="E86" i="1"/>
  <c r="N85" i="1"/>
  <c r="F85" i="1"/>
  <c r="E85" i="1"/>
  <c r="N84" i="1"/>
  <c r="F84" i="1"/>
  <c r="E84" i="1"/>
  <c r="N83" i="1"/>
  <c r="F83" i="1"/>
  <c r="E83" i="1"/>
  <c r="N82" i="1"/>
  <c r="F82" i="1"/>
  <c r="E82" i="1"/>
  <c r="N81" i="1"/>
  <c r="F81" i="1"/>
  <c r="E81" i="1"/>
  <c r="N80" i="1"/>
  <c r="F80" i="1"/>
  <c r="E80" i="1"/>
  <c r="N79" i="1"/>
  <c r="F79" i="1"/>
  <c r="E79" i="1"/>
  <c r="N78" i="1"/>
  <c r="F78" i="1"/>
  <c r="E78" i="1"/>
  <c r="N77" i="1"/>
  <c r="F77" i="1"/>
  <c r="E77" i="1"/>
  <c r="N76" i="1"/>
  <c r="F76" i="1"/>
  <c r="E76" i="1"/>
  <c r="N75" i="1"/>
  <c r="F75" i="1"/>
  <c r="E75" i="1"/>
  <c r="N74" i="1"/>
  <c r="F74" i="1"/>
  <c r="E74" i="1"/>
  <c r="N73" i="1"/>
  <c r="F73" i="1"/>
  <c r="E73" i="1"/>
  <c r="N72" i="1"/>
  <c r="F72" i="1"/>
  <c r="E72" i="1"/>
  <c r="N71" i="1"/>
  <c r="F71" i="1"/>
  <c r="E71" i="1"/>
  <c r="N70" i="1"/>
  <c r="F70" i="1"/>
  <c r="E70" i="1"/>
  <c r="N69" i="1"/>
  <c r="F69" i="1"/>
  <c r="E69" i="1"/>
  <c r="N68" i="1"/>
  <c r="F68" i="1"/>
  <c r="E68" i="1"/>
  <c r="N67" i="1"/>
  <c r="F67" i="1"/>
  <c r="E67" i="1"/>
  <c r="N66" i="1"/>
  <c r="F66" i="1"/>
  <c r="E66" i="1"/>
  <c r="N65" i="1"/>
  <c r="F65" i="1"/>
  <c r="E65" i="1"/>
  <c r="N64" i="1"/>
  <c r="F64" i="1"/>
  <c r="E64" i="1"/>
  <c r="N63" i="1"/>
  <c r="F63" i="1"/>
  <c r="E63" i="1"/>
  <c r="N62" i="1"/>
  <c r="F62" i="1"/>
  <c r="E62" i="1"/>
  <c r="N61" i="1"/>
  <c r="F61" i="1"/>
  <c r="E61" i="1"/>
  <c r="N60" i="1"/>
  <c r="F60" i="1"/>
  <c r="E60" i="1"/>
  <c r="N59" i="1"/>
  <c r="F59" i="1"/>
  <c r="E59" i="1"/>
  <c r="N58" i="1"/>
  <c r="F58" i="1"/>
  <c r="E58" i="1"/>
  <c r="N57" i="1"/>
  <c r="F57" i="1"/>
  <c r="E57" i="1"/>
  <c r="N56" i="1"/>
  <c r="F56" i="1"/>
  <c r="E56" i="1"/>
  <c r="N55" i="1"/>
  <c r="F55" i="1"/>
  <c r="E55" i="1"/>
  <c r="N54" i="1"/>
  <c r="F54" i="1"/>
  <c r="E54" i="1"/>
  <c r="N53" i="1"/>
  <c r="F53" i="1"/>
  <c r="E53" i="1"/>
  <c r="N52" i="1"/>
  <c r="F52" i="1"/>
  <c r="E52" i="1"/>
  <c r="N51" i="1"/>
  <c r="F51" i="1"/>
  <c r="E51" i="1"/>
  <c r="N50" i="1"/>
  <c r="F50" i="1"/>
  <c r="E50" i="1"/>
  <c r="N49" i="1"/>
  <c r="F49" i="1"/>
  <c r="E49" i="1"/>
  <c r="N48" i="1"/>
  <c r="F48" i="1"/>
  <c r="E48" i="1"/>
  <c r="N47" i="1"/>
  <c r="F47" i="1"/>
  <c r="E47" i="1"/>
  <c r="N46" i="1"/>
  <c r="F46" i="1"/>
  <c r="E46" i="1"/>
  <c r="N45" i="1"/>
  <c r="F45" i="1"/>
  <c r="E45" i="1"/>
  <c r="N44" i="1"/>
  <c r="F44" i="1"/>
  <c r="E44" i="1"/>
  <c r="N43" i="1"/>
  <c r="F43" i="1"/>
  <c r="E43" i="1"/>
  <c r="N42" i="1"/>
  <c r="F42" i="1"/>
  <c r="E42" i="1"/>
  <c r="N41" i="1"/>
  <c r="F41" i="1"/>
  <c r="E41" i="1"/>
  <c r="N40" i="1"/>
  <c r="F40" i="1"/>
  <c r="E40" i="1"/>
  <c r="N39" i="1"/>
  <c r="F39" i="1"/>
  <c r="E39" i="1"/>
  <c r="N38" i="1"/>
  <c r="F38" i="1"/>
  <c r="E38" i="1"/>
  <c r="N37" i="1"/>
  <c r="F37" i="1"/>
  <c r="E37" i="1"/>
  <c r="N36" i="1"/>
  <c r="F36" i="1"/>
  <c r="E36" i="1"/>
  <c r="N35" i="1"/>
  <c r="F35" i="1"/>
  <c r="E35" i="1"/>
  <c r="N34" i="1"/>
  <c r="F34" i="1"/>
  <c r="E34" i="1"/>
  <c r="N33" i="1"/>
  <c r="F33" i="1"/>
  <c r="E33" i="1"/>
  <c r="N32" i="1"/>
  <c r="F32" i="1"/>
  <c r="E32" i="1"/>
  <c r="N31" i="1"/>
  <c r="F31" i="1"/>
  <c r="E31" i="1"/>
  <c r="N30" i="1"/>
  <c r="F30" i="1"/>
  <c r="E30" i="1"/>
  <c r="N29" i="1"/>
  <c r="F29" i="1"/>
  <c r="E29" i="1"/>
  <c r="N28" i="1"/>
  <c r="F28" i="1"/>
  <c r="E28" i="1"/>
  <c r="N27" i="1"/>
  <c r="F27" i="1"/>
  <c r="E27" i="1"/>
  <c r="N26" i="1"/>
  <c r="F26" i="1"/>
  <c r="E26" i="1"/>
  <c r="N25" i="1"/>
  <c r="F25" i="1"/>
  <c r="E25" i="1"/>
  <c r="N24" i="1"/>
  <c r="F24" i="1"/>
  <c r="E24" i="1"/>
  <c r="N23" i="1"/>
  <c r="F23" i="1"/>
  <c r="E23" i="1"/>
  <c r="N22" i="1"/>
  <c r="F22" i="1"/>
  <c r="E22" i="1"/>
  <c r="N21" i="1"/>
  <c r="F21" i="1"/>
  <c r="E21" i="1"/>
  <c r="N20" i="1"/>
  <c r="F20" i="1"/>
  <c r="E20" i="1"/>
  <c r="N19" i="1"/>
  <c r="F19" i="1"/>
  <c r="E19" i="1"/>
  <c r="N18" i="1"/>
  <c r="F18" i="1"/>
  <c r="E18" i="1"/>
  <c r="N17" i="1"/>
  <c r="F17" i="1"/>
  <c r="E17" i="1"/>
  <c r="N16" i="1"/>
  <c r="F16" i="1"/>
  <c r="E16" i="1"/>
  <c r="N15" i="1"/>
  <c r="F15" i="1"/>
  <c r="E15" i="1"/>
  <c r="N14" i="1"/>
  <c r="F14" i="1"/>
  <c r="E14" i="1"/>
  <c r="N13" i="1"/>
  <c r="F13" i="1"/>
  <c r="E13" i="1"/>
  <c r="N12" i="1"/>
  <c r="F12" i="1"/>
  <c r="E12" i="1"/>
  <c r="N11" i="1"/>
  <c r="F11" i="1"/>
  <c r="E11" i="1"/>
  <c r="N10" i="1"/>
  <c r="F10" i="1"/>
  <c r="E10" i="1"/>
  <c r="N9" i="1"/>
  <c r="F9" i="1"/>
  <c r="E9" i="1"/>
  <c r="N8" i="1"/>
  <c r="F8" i="1"/>
  <c r="E8" i="1"/>
  <c r="N7" i="1"/>
  <c r="F7" i="1"/>
  <c r="E7" i="1"/>
  <c r="N6" i="1"/>
  <c r="F6" i="1"/>
  <c r="E6" i="1"/>
  <c r="N5" i="1"/>
  <c r="F5" i="1"/>
  <c r="E5" i="1"/>
  <c r="N4" i="1"/>
  <c r="F4" i="1"/>
  <c r="E4" i="1"/>
  <c r="N3" i="1"/>
  <c r="F3" i="1"/>
  <c r="E3" i="1"/>
  <c r="N2" i="1"/>
  <c r="F2" i="1"/>
  <c r="E2" i="1"/>
</calcChain>
</file>

<file path=xl/sharedStrings.xml><?xml version="1.0" encoding="utf-8"?>
<sst xmlns="http://schemas.openxmlformats.org/spreadsheetml/2006/main" count="14" uniqueCount="14">
  <si>
    <t>fecha</t>
  </si>
  <si>
    <t>salmuera_tm</t>
  </si>
  <si>
    <t>k_pp_%</t>
  </si>
  <si>
    <t>li_pp_%</t>
  </si>
  <si>
    <t>uf_k_tm</t>
  </si>
  <si>
    <t>uf_li_tm</t>
  </si>
  <si>
    <t>fosa</t>
  </si>
  <si>
    <t>fase_1</t>
  </si>
  <si>
    <t>fase_2</t>
  </si>
  <si>
    <t>fase_3</t>
  </si>
  <si>
    <t>fase_4</t>
  </si>
  <si>
    <t>fase_5</t>
  </si>
  <si>
    <t>fase_6</t>
  </si>
  <si>
    <t>total_f_p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</si>
</sst>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/m/yyyy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>
      <protection locked="0"/>
    </xf>
  </cellStyleXfs>
  <cellXfs count="24">
    <xf numFmtId="0" fontId="0" fillId="0" borderId="0" xfId="0"/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9AFA2D69-1CD0-4530-A21B-A579927DA9C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tabSelected="1" topLeftCell="A98" workbookViewId="0">
      <selection activeCell="C127" sqref="C127"/>
    </sheetView>
  </sheetViews>
  <sheetFormatPr defaultRowHeight="15" x14ac:dyDescent="0.25"/>
  <cols>
    <col min="1" max="1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45870</v>
      </c>
      <c r="B2" s="2">
        <v>63318</v>
      </c>
      <c r="C2" s="3">
        <v>1.68</v>
      </c>
      <c r="D2" s="3">
        <v>0.08</v>
      </c>
      <c r="E2" s="4">
        <f t="shared" ref="E2:E65" si="0">+C2*B2/100</f>
        <v>1063.7423999999999</v>
      </c>
      <c r="F2" s="4">
        <f t="shared" ref="F2:F65" si="1">+D2*B2/100</f>
        <v>50.654400000000003</v>
      </c>
      <c r="G2" s="5">
        <v>5</v>
      </c>
      <c r="H2" s="5">
        <v>6</v>
      </c>
      <c r="I2" s="5">
        <v>6</v>
      </c>
      <c r="J2" s="5">
        <v>14</v>
      </c>
      <c r="K2" s="5"/>
      <c r="L2" s="5"/>
      <c r="M2" s="5">
        <v>15</v>
      </c>
      <c r="N2" s="5">
        <f t="shared" ref="N2:N4" si="2">+SUM(G2:M2)</f>
        <v>46</v>
      </c>
    </row>
    <row r="3" spans="1:14" x14ac:dyDescent="0.25">
      <c r="A3" s="1">
        <v>45871</v>
      </c>
      <c r="B3" s="2">
        <v>64856</v>
      </c>
      <c r="C3" s="3">
        <v>1.68</v>
      </c>
      <c r="D3" s="3">
        <v>0.08</v>
      </c>
      <c r="E3" s="4">
        <f t="shared" si="0"/>
        <v>1089.5808</v>
      </c>
      <c r="F3" s="4">
        <f t="shared" si="1"/>
        <v>51.884800000000006</v>
      </c>
      <c r="G3" s="5">
        <v>5</v>
      </c>
      <c r="H3" s="5">
        <v>6</v>
      </c>
      <c r="I3" s="5">
        <v>6</v>
      </c>
      <c r="J3" s="5">
        <v>14</v>
      </c>
      <c r="K3" s="5"/>
      <c r="L3" s="5">
        <v>4</v>
      </c>
      <c r="M3" s="5">
        <v>15</v>
      </c>
      <c r="N3" s="5">
        <f t="shared" si="2"/>
        <v>50</v>
      </c>
    </row>
    <row r="4" spans="1:14" x14ac:dyDescent="0.25">
      <c r="A4" s="1">
        <v>45872</v>
      </c>
      <c r="B4" s="2">
        <v>58580</v>
      </c>
      <c r="C4" s="3">
        <v>1.68</v>
      </c>
      <c r="D4" s="3">
        <v>0.08</v>
      </c>
      <c r="E4" s="4">
        <f t="shared" si="0"/>
        <v>984.14399999999989</v>
      </c>
      <c r="F4" s="4">
        <f t="shared" si="1"/>
        <v>46.864000000000004</v>
      </c>
      <c r="G4" s="5">
        <v>5</v>
      </c>
      <c r="H4" s="5">
        <v>6</v>
      </c>
      <c r="I4" s="5">
        <v>6</v>
      </c>
      <c r="J4" s="5">
        <v>13</v>
      </c>
      <c r="K4" s="5"/>
      <c r="L4" s="5">
        <v>25</v>
      </c>
      <c r="M4" s="5">
        <v>15</v>
      </c>
      <c r="N4" s="5">
        <f t="shared" si="2"/>
        <v>70</v>
      </c>
    </row>
    <row r="5" spans="1:14" x14ac:dyDescent="0.25">
      <c r="A5" s="1">
        <v>45873</v>
      </c>
      <c r="B5" s="2">
        <v>50404</v>
      </c>
      <c r="C5" s="3">
        <v>1.68</v>
      </c>
      <c r="D5" s="3">
        <v>0.08</v>
      </c>
      <c r="E5" s="4">
        <f t="shared" si="0"/>
        <v>846.78719999999998</v>
      </c>
      <c r="F5" s="4">
        <f t="shared" si="1"/>
        <v>40.3232</v>
      </c>
      <c r="G5" s="5">
        <v>5</v>
      </c>
      <c r="H5" s="5">
        <v>6</v>
      </c>
      <c r="I5" s="5">
        <v>6</v>
      </c>
      <c r="J5" s="5">
        <v>12</v>
      </c>
      <c r="K5" s="5"/>
      <c r="L5" s="5">
        <v>1</v>
      </c>
      <c r="M5" s="5">
        <v>14</v>
      </c>
      <c r="N5" s="5">
        <f>+SUM(G5:M5)</f>
        <v>44</v>
      </c>
    </row>
    <row r="6" spans="1:14" x14ac:dyDescent="0.25">
      <c r="A6" s="1">
        <v>45874</v>
      </c>
      <c r="B6" s="2">
        <v>57019</v>
      </c>
      <c r="C6" s="3">
        <v>1.65</v>
      </c>
      <c r="D6" s="3">
        <v>0.08</v>
      </c>
      <c r="E6" s="4">
        <f t="shared" si="0"/>
        <v>940.81349999999986</v>
      </c>
      <c r="F6" s="4">
        <f t="shared" si="1"/>
        <v>45.615200000000002</v>
      </c>
      <c r="G6" s="5">
        <v>5</v>
      </c>
      <c r="H6" s="5">
        <v>6</v>
      </c>
      <c r="I6" s="5">
        <v>6</v>
      </c>
      <c r="J6" s="5">
        <v>12</v>
      </c>
      <c r="K6" s="5"/>
      <c r="L6" s="5">
        <v>4</v>
      </c>
      <c r="M6" s="5">
        <v>15</v>
      </c>
      <c r="N6" s="5">
        <f>+SUM(G6:M6)</f>
        <v>48</v>
      </c>
    </row>
    <row r="7" spans="1:14" x14ac:dyDescent="0.25">
      <c r="A7" s="1">
        <v>45875</v>
      </c>
      <c r="B7" s="2">
        <v>56786</v>
      </c>
      <c r="C7" s="3">
        <v>1.65</v>
      </c>
      <c r="D7" s="3">
        <v>0.08</v>
      </c>
      <c r="E7" s="4">
        <f t="shared" si="0"/>
        <v>936.96899999999994</v>
      </c>
      <c r="F7" s="4">
        <f t="shared" si="1"/>
        <v>45.428800000000003</v>
      </c>
      <c r="G7" s="5">
        <v>4</v>
      </c>
      <c r="H7" s="5">
        <v>6</v>
      </c>
      <c r="I7" s="5">
        <v>6</v>
      </c>
      <c r="J7" s="5">
        <v>12</v>
      </c>
      <c r="K7" s="5"/>
      <c r="L7" s="5"/>
      <c r="M7" s="5">
        <v>15</v>
      </c>
      <c r="N7" s="5">
        <f t="shared" ref="N7:N70" si="3">+SUM(G7:M7)</f>
        <v>43</v>
      </c>
    </row>
    <row r="8" spans="1:14" x14ac:dyDescent="0.25">
      <c r="A8" s="1">
        <v>45876</v>
      </c>
      <c r="B8" s="2">
        <v>46903</v>
      </c>
      <c r="C8" s="3">
        <v>1.65</v>
      </c>
      <c r="D8" s="3">
        <v>0.08</v>
      </c>
      <c r="E8" s="4">
        <f t="shared" si="0"/>
        <v>773.89949999999999</v>
      </c>
      <c r="F8" s="4">
        <f t="shared" si="1"/>
        <v>37.522400000000005</v>
      </c>
      <c r="G8" s="5">
        <v>2</v>
      </c>
      <c r="H8" s="5">
        <v>5</v>
      </c>
      <c r="I8" s="5">
        <v>6</v>
      </c>
      <c r="J8" s="5">
        <v>10</v>
      </c>
      <c r="K8" s="5"/>
      <c r="L8" s="5"/>
      <c r="M8" s="5">
        <v>15</v>
      </c>
      <c r="N8" s="5">
        <f t="shared" si="3"/>
        <v>38</v>
      </c>
    </row>
    <row r="9" spans="1:14" x14ac:dyDescent="0.25">
      <c r="A9" s="1">
        <v>45877</v>
      </c>
      <c r="B9" s="2">
        <v>35100</v>
      </c>
      <c r="C9" s="3">
        <v>1.65</v>
      </c>
      <c r="D9" s="3">
        <v>0.08</v>
      </c>
      <c r="E9" s="4">
        <f t="shared" si="0"/>
        <v>579.15</v>
      </c>
      <c r="F9" s="4">
        <f t="shared" si="1"/>
        <v>28.08</v>
      </c>
      <c r="G9" s="5">
        <v>2</v>
      </c>
      <c r="H9" s="5">
        <v>3</v>
      </c>
      <c r="I9" s="5">
        <v>4</v>
      </c>
      <c r="J9" s="5">
        <v>6</v>
      </c>
      <c r="K9" s="5"/>
      <c r="L9" s="5"/>
      <c r="M9" s="5">
        <v>9</v>
      </c>
      <c r="N9" s="5">
        <f t="shared" si="3"/>
        <v>24</v>
      </c>
    </row>
    <row r="10" spans="1:14" x14ac:dyDescent="0.25">
      <c r="A10" s="1">
        <v>45878</v>
      </c>
      <c r="B10" s="2">
        <v>13449</v>
      </c>
      <c r="C10" s="3">
        <v>1.65</v>
      </c>
      <c r="D10" s="3">
        <v>0.08</v>
      </c>
      <c r="E10" s="4">
        <f>+C10*B10/100</f>
        <v>221.90849999999998</v>
      </c>
      <c r="F10" s="4">
        <f t="shared" si="1"/>
        <v>10.7592</v>
      </c>
      <c r="G10" s="5">
        <v>1</v>
      </c>
      <c r="H10" s="5">
        <v>0</v>
      </c>
      <c r="I10" s="5">
        <v>0</v>
      </c>
      <c r="J10" s="5">
        <v>0</v>
      </c>
      <c r="K10" s="5"/>
      <c r="L10" s="5"/>
      <c r="M10" s="5">
        <v>0</v>
      </c>
      <c r="N10" s="5">
        <f>+SUM(G10:M10)</f>
        <v>1</v>
      </c>
    </row>
    <row r="11" spans="1:14" x14ac:dyDescent="0.25">
      <c r="A11" s="1">
        <v>45879</v>
      </c>
      <c r="B11" s="2">
        <v>0</v>
      </c>
      <c r="C11" s="3"/>
      <c r="D11" s="3"/>
      <c r="E11" s="4">
        <f t="shared" si="0"/>
        <v>0</v>
      </c>
      <c r="F11" s="4">
        <f t="shared" si="1"/>
        <v>0</v>
      </c>
      <c r="G11" s="5">
        <v>0</v>
      </c>
      <c r="H11" s="5">
        <v>0</v>
      </c>
      <c r="I11" s="5">
        <v>0</v>
      </c>
      <c r="J11" s="5">
        <v>0</v>
      </c>
      <c r="K11" s="5"/>
      <c r="L11" s="5"/>
      <c r="M11" s="5">
        <v>0</v>
      </c>
      <c r="N11" s="5">
        <f t="shared" si="3"/>
        <v>0</v>
      </c>
    </row>
    <row r="12" spans="1:14" x14ac:dyDescent="0.25">
      <c r="A12" s="1">
        <v>45880</v>
      </c>
      <c r="B12" s="2">
        <v>0</v>
      </c>
      <c r="C12" s="3"/>
      <c r="D12" s="3"/>
      <c r="E12" s="4">
        <f t="shared" si="0"/>
        <v>0</v>
      </c>
      <c r="F12" s="4">
        <f t="shared" si="1"/>
        <v>0</v>
      </c>
      <c r="G12" s="5">
        <v>0</v>
      </c>
      <c r="H12" s="5">
        <v>0</v>
      </c>
      <c r="I12" s="5">
        <v>0</v>
      </c>
      <c r="J12" s="5">
        <v>0</v>
      </c>
      <c r="K12" s="5"/>
      <c r="L12" s="5"/>
      <c r="M12" s="5">
        <v>0</v>
      </c>
      <c r="N12" s="5">
        <f t="shared" si="3"/>
        <v>0</v>
      </c>
    </row>
    <row r="13" spans="1:14" x14ac:dyDescent="0.25">
      <c r="A13" s="1">
        <v>45881</v>
      </c>
      <c r="B13" s="2">
        <v>0</v>
      </c>
      <c r="C13" s="3"/>
      <c r="D13" s="3"/>
      <c r="E13" s="4">
        <f t="shared" si="0"/>
        <v>0</v>
      </c>
      <c r="F13" s="4">
        <f t="shared" si="1"/>
        <v>0</v>
      </c>
      <c r="G13" s="5">
        <v>0</v>
      </c>
      <c r="H13" s="5">
        <v>0</v>
      </c>
      <c r="I13" s="5">
        <v>0</v>
      </c>
      <c r="J13" s="5">
        <v>0</v>
      </c>
      <c r="K13" s="5"/>
      <c r="L13" s="5"/>
      <c r="M13" s="5">
        <v>0</v>
      </c>
      <c r="N13" s="5">
        <f t="shared" si="3"/>
        <v>0</v>
      </c>
    </row>
    <row r="14" spans="1:14" x14ac:dyDescent="0.25">
      <c r="A14" s="1">
        <v>45882</v>
      </c>
      <c r="B14" s="2">
        <v>3200</v>
      </c>
      <c r="C14" s="3">
        <v>1.57</v>
      </c>
      <c r="D14" s="3">
        <v>7.3999999999999996E-2</v>
      </c>
      <c r="E14" s="4">
        <f t="shared" si="0"/>
        <v>50.24</v>
      </c>
      <c r="F14" s="4">
        <f t="shared" si="1"/>
        <v>2.3679999999999999</v>
      </c>
      <c r="G14" s="5">
        <v>0</v>
      </c>
      <c r="H14" s="5">
        <v>0</v>
      </c>
      <c r="I14" s="5">
        <v>4</v>
      </c>
      <c r="J14" s="5">
        <v>0</v>
      </c>
      <c r="K14" s="5"/>
      <c r="L14" s="5"/>
      <c r="M14" s="5">
        <v>0</v>
      </c>
      <c r="N14" s="5">
        <f t="shared" si="3"/>
        <v>4</v>
      </c>
    </row>
    <row r="15" spans="1:14" x14ac:dyDescent="0.25">
      <c r="A15" s="1">
        <v>45883</v>
      </c>
      <c r="B15" s="2">
        <v>4558</v>
      </c>
      <c r="C15" s="3">
        <v>1.57</v>
      </c>
      <c r="D15" s="3">
        <v>7.0000000000000007E-2</v>
      </c>
      <c r="E15" s="4">
        <f t="shared" si="0"/>
        <v>71.560600000000008</v>
      </c>
      <c r="F15" s="4">
        <f t="shared" si="1"/>
        <v>3.1905999999999999</v>
      </c>
      <c r="G15" s="5">
        <v>0</v>
      </c>
      <c r="H15" s="5">
        <v>0</v>
      </c>
      <c r="I15" s="5">
        <v>4</v>
      </c>
      <c r="J15" s="5">
        <v>0</v>
      </c>
      <c r="K15" s="5"/>
      <c r="L15" s="5"/>
      <c r="M15" s="5">
        <v>0</v>
      </c>
      <c r="N15" s="5">
        <f t="shared" si="3"/>
        <v>4</v>
      </c>
    </row>
    <row r="16" spans="1:14" x14ac:dyDescent="0.25">
      <c r="A16" s="1">
        <v>45884</v>
      </c>
      <c r="B16" s="2">
        <v>10344</v>
      </c>
      <c r="C16" s="3">
        <v>1.57</v>
      </c>
      <c r="D16" s="3">
        <v>7.3999999999999996E-2</v>
      </c>
      <c r="E16" s="4">
        <f t="shared" si="0"/>
        <v>162.4008</v>
      </c>
      <c r="F16" s="4">
        <f t="shared" si="1"/>
        <v>7.65456</v>
      </c>
      <c r="G16" s="5">
        <v>0</v>
      </c>
      <c r="H16" s="5">
        <v>0</v>
      </c>
      <c r="I16" s="5">
        <v>4</v>
      </c>
      <c r="J16" s="5">
        <v>0</v>
      </c>
      <c r="K16" s="5"/>
      <c r="L16" s="5"/>
      <c r="M16" s="5">
        <v>0</v>
      </c>
      <c r="N16" s="5">
        <f t="shared" si="3"/>
        <v>4</v>
      </c>
    </row>
    <row r="17" spans="1:14" x14ac:dyDescent="0.25">
      <c r="A17" s="1">
        <v>45885</v>
      </c>
      <c r="B17" s="2">
        <v>22336</v>
      </c>
      <c r="C17" s="3">
        <v>1.57</v>
      </c>
      <c r="D17" s="3">
        <v>7.3999999999999996E-2</v>
      </c>
      <c r="E17" s="4">
        <f t="shared" si="0"/>
        <v>350.67520000000002</v>
      </c>
      <c r="F17" s="4">
        <f t="shared" si="1"/>
        <v>16.528639999999999</v>
      </c>
      <c r="G17" s="5">
        <v>2</v>
      </c>
      <c r="H17" s="5">
        <v>0</v>
      </c>
      <c r="I17" s="5">
        <v>6</v>
      </c>
      <c r="J17" s="5">
        <v>5</v>
      </c>
      <c r="K17" s="5"/>
      <c r="L17" s="5"/>
      <c r="M17" s="5">
        <v>8</v>
      </c>
      <c r="N17" s="5">
        <f t="shared" si="3"/>
        <v>21</v>
      </c>
    </row>
    <row r="18" spans="1:14" x14ac:dyDescent="0.25">
      <c r="A18" s="1">
        <v>45886</v>
      </c>
      <c r="B18" s="2">
        <v>17739</v>
      </c>
      <c r="C18" s="3">
        <v>1.5594210170255947</v>
      </c>
      <c r="D18" s="3">
        <v>8.284474010598715E-2</v>
      </c>
      <c r="E18" s="4">
        <f t="shared" si="0"/>
        <v>276.6256942101702</v>
      </c>
      <c r="F18" s="4">
        <f t="shared" si="1"/>
        <v>14.695828447401061</v>
      </c>
      <c r="G18" s="5">
        <v>2</v>
      </c>
      <c r="H18" s="5">
        <v>0</v>
      </c>
      <c r="I18" s="5">
        <v>6</v>
      </c>
      <c r="J18" s="5">
        <v>5</v>
      </c>
      <c r="K18" s="5"/>
      <c r="L18" s="5"/>
      <c r="M18" s="5">
        <v>8</v>
      </c>
      <c r="N18" s="5">
        <f t="shared" si="3"/>
        <v>21</v>
      </c>
    </row>
    <row r="19" spans="1:14" x14ac:dyDescent="0.25">
      <c r="A19" s="1">
        <v>45887</v>
      </c>
      <c r="B19" s="2">
        <v>23092</v>
      </c>
      <c r="C19" s="3">
        <v>1.5594210170255947</v>
      </c>
      <c r="D19" s="3">
        <v>8.284474010598715E-2</v>
      </c>
      <c r="E19" s="4">
        <f t="shared" si="0"/>
        <v>360.1015012515503</v>
      </c>
      <c r="F19" s="4">
        <f t="shared" si="1"/>
        <v>19.130507385274552</v>
      </c>
      <c r="G19" s="5">
        <v>2</v>
      </c>
      <c r="H19" s="5">
        <v>0</v>
      </c>
      <c r="I19" s="5">
        <v>6</v>
      </c>
      <c r="J19" s="5">
        <v>5</v>
      </c>
      <c r="K19" s="5"/>
      <c r="L19" s="5"/>
      <c r="M19" s="5">
        <v>8</v>
      </c>
      <c r="N19" s="5">
        <f t="shared" si="3"/>
        <v>21</v>
      </c>
    </row>
    <row r="20" spans="1:14" x14ac:dyDescent="0.25">
      <c r="A20" s="1">
        <v>45888</v>
      </c>
      <c r="B20" s="2">
        <v>25006</v>
      </c>
      <c r="C20" s="3">
        <v>1.5594210170255947</v>
      </c>
      <c r="D20" s="3">
        <v>8.284474010598715E-2</v>
      </c>
      <c r="E20" s="4">
        <f t="shared" si="0"/>
        <v>389.94881951742019</v>
      </c>
      <c r="F20" s="4">
        <f t="shared" si="1"/>
        <v>20.716155710903145</v>
      </c>
      <c r="G20" s="5">
        <v>2</v>
      </c>
      <c r="H20" s="5">
        <v>3</v>
      </c>
      <c r="I20" s="5">
        <v>6</v>
      </c>
      <c r="J20" s="5">
        <v>5</v>
      </c>
      <c r="K20" s="5"/>
      <c r="L20" s="5"/>
      <c r="M20" s="5">
        <v>10</v>
      </c>
      <c r="N20" s="5">
        <f t="shared" si="3"/>
        <v>26</v>
      </c>
    </row>
    <row r="21" spans="1:14" x14ac:dyDescent="0.25">
      <c r="A21" s="1">
        <v>45889</v>
      </c>
      <c r="B21" s="2">
        <v>26949</v>
      </c>
      <c r="C21" s="3">
        <v>1.5594210170255947</v>
      </c>
      <c r="D21" s="3">
        <v>8.284474010598715E-2</v>
      </c>
      <c r="E21" s="4">
        <f t="shared" si="0"/>
        <v>420.24836987822755</v>
      </c>
      <c r="F21" s="4">
        <f t="shared" si="1"/>
        <v>22.325829011162476</v>
      </c>
      <c r="G21" s="5">
        <v>3</v>
      </c>
      <c r="H21" s="5">
        <v>3</v>
      </c>
      <c r="I21" s="5">
        <v>6</v>
      </c>
      <c r="J21" s="5">
        <v>5</v>
      </c>
      <c r="K21" s="5"/>
      <c r="L21" s="5"/>
      <c r="M21" s="5">
        <v>10</v>
      </c>
      <c r="N21" s="5">
        <f t="shared" si="3"/>
        <v>27</v>
      </c>
    </row>
    <row r="22" spans="1:14" x14ac:dyDescent="0.25">
      <c r="A22" s="1">
        <v>45890</v>
      </c>
      <c r="B22" s="2">
        <v>28122</v>
      </c>
      <c r="C22" s="3">
        <v>1.5594210170255947</v>
      </c>
      <c r="D22" s="3">
        <v>8.284474010598715E-2</v>
      </c>
      <c r="E22" s="4">
        <f t="shared" si="0"/>
        <v>438.54037840793774</v>
      </c>
      <c r="F22" s="4">
        <f t="shared" si="1"/>
        <v>23.297597812605705</v>
      </c>
      <c r="G22" s="5">
        <v>3</v>
      </c>
      <c r="H22" s="5">
        <v>3</v>
      </c>
      <c r="I22" s="5">
        <v>6</v>
      </c>
      <c r="J22" s="5">
        <v>5</v>
      </c>
      <c r="K22" s="5"/>
      <c r="L22" s="5"/>
      <c r="M22" s="5">
        <v>10</v>
      </c>
      <c r="N22" s="5">
        <f t="shared" si="3"/>
        <v>27</v>
      </c>
    </row>
    <row r="23" spans="1:14" x14ac:dyDescent="0.25">
      <c r="A23" s="1">
        <v>45891</v>
      </c>
      <c r="B23" s="2">
        <v>28753</v>
      </c>
      <c r="C23" s="3">
        <v>1.5594210170255947</v>
      </c>
      <c r="D23" s="3">
        <v>8.284474010598715E-2</v>
      </c>
      <c r="E23" s="4">
        <f t="shared" si="0"/>
        <v>448.38032502536925</v>
      </c>
      <c r="F23" s="4">
        <f t="shared" si="1"/>
        <v>23.820348122674485</v>
      </c>
      <c r="G23" s="5">
        <v>3</v>
      </c>
      <c r="H23" s="5">
        <v>3</v>
      </c>
      <c r="I23" s="5">
        <v>6</v>
      </c>
      <c r="J23" s="5">
        <v>5</v>
      </c>
      <c r="K23" s="5"/>
      <c r="L23" s="5"/>
      <c r="M23" s="5">
        <v>10</v>
      </c>
      <c r="N23" s="5">
        <f t="shared" si="3"/>
        <v>27</v>
      </c>
    </row>
    <row r="24" spans="1:14" x14ac:dyDescent="0.25">
      <c r="A24" s="1">
        <v>45892</v>
      </c>
      <c r="B24" s="2">
        <v>30107</v>
      </c>
      <c r="C24" s="3">
        <v>1.5594210170255947</v>
      </c>
      <c r="D24" s="3">
        <v>8.284474010598715E-2</v>
      </c>
      <c r="E24" s="4">
        <f t="shared" si="0"/>
        <v>469.49488559589577</v>
      </c>
      <c r="F24" s="4">
        <f t="shared" si="1"/>
        <v>24.942065903709548</v>
      </c>
      <c r="G24" s="5">
        <v>3</v>
      </c>
      <c r="H24" s="5">
        <v>3</v>
      </c>
      <c r="I24" s="5">
        <v>6</v>
      </c>
      <c r="J24" s="5">
        <v>5</v>
      </c>
      <c r="K24" s="5"/>
      <c r="L24" s="5"/>
      <c r="M24" s="5">
        <v>10</v>
      </c>
      <c r="N24" s="5">
        <f t="shared" si="3"/>
        <v>27</v>
      </c>
    </row>
    <row r="25" spans="1:14" x14ac:dyDescent="0.25">
      <c r="A25" s="1">
        <v>45893</v>
      </c>
      <c r="B25" s="2">
        <v>35151</v>
      </c>
      <c r="C25" s="3">
        <v>1.5594210170255947</v>
      </c>
      <c r="D25" s="3">
        <v>8.284474010598715E-2</v>
      </c>
      <c r="E25" s="4">
        <f t="shared" si="0"/>
        <v>548.15208169466678</v>
      </c>
      <c r="F25" s="4">
        <f t="shared" si="1"/>
        <v>29.120754594655541</v>
      </c>
      <c r="G25" s="5">
        <v>3</v>
      </c>
      <c r="H25" s="5">
        <v>3</v>
      </c>
      <c r="I25" s="5">
        <v>6</v>
      </c>
      <c r="J25" s="5">
        <v>7</v>
      </c>
      <c r="K25" s="5"/>
      <c r="L25" s="5"/>
      <c r="M25" s="5">
        <v>10</v>
      </c>
      <c r="N25" s="5">
        <f t="shared" si="3"/>
        <v>29</v>
      </c>
    </row>
    <row r="26" spans="1:14" x14ac:dyDescent="0.25">
      <c r="A26" s="1">
        <v>45894</v>
      </c>
      <c r="B26" s="2">
        <v>38814</v>
      </c>
      <c r="C26" s="3">
        <v>1.5594210170255947</v>
      </c>
      <c r="D26" s="3">
        <v>8.284474010598715E-2</v>
      </c>
      <c r="E26" s="4">
        <f t="shared" si="0"/>
        <v>605.27367354831438</v>
      </c>
      <c r="F26" s="4">
        <f t="shared" si="1"/>
        <v>32.155357424737851</v>
      </c>
      <c r="G26" s="5">
        <v>3</v>
      </c>
      <c r="H26" s="5">
        <v>3</v>
      </c>
      <c r="I26" s="5">
        <v>6</v>
      </c>
      <c r="J26" s="5">
        <v>7</v>
      </c>
      <c r="K26" s="5"/>
      <c r="L26" s="5"/>
      <c r="M26" s="5">
        <v>10</v>
      </c>
      <c r="N26" s="5">
        <f t="shared" si="3"/>
        <v>29</v>
      </c>
    </row>
    <row r="27" spans="1:14" x14ac:dyDescent="0.25">
      <c r="A27" s="1">
        <v>45895</v>
      </c>
      <c r="B27" s="2">
        <v>40034</v>
      </c>
      <c r="C27" s="3">
        <v>1.5594210170255947</v>
      </c>
      <c r="D27" s="3">
        <v>8.284474010598715E-2</v>
      </c>
      <c r="E27" s="4">
        <f t="shared" si="0"/>
        <v>624.29860995602655</v>
      </c>
      <c r="F27" s="4">
        <f t="shared" si="1"/>
        <v>33.166063254030895</v>
      </c>
      <c r="G27" s="5">
        <v>2</v>
      </c>
      <c r="H27" s="5">
        <v>3</v>
      </c>
      <c r="I27" s="5">
        <v>6</v>
      </c>
      <c r="J27" s="5">
        <v>7</v>
      </c>
      <c r="K27" s="5"/>
      <c r="L27" s="5"/>
      <c r="M27" s="5">
        <v>10</v>
      </c>
      <c r="N27" s="5">
        <f t="shared" si="3"/>
        <v>28</v>
      </c>
    </row>
    <row r="28" spans="1:14" x14ac:dyDescent="0.25">
      <c r="A28" s="1">
        <v>45896</v>
      </c>
      <c r="B28" s="2">
        <v>39597</v>
      </c>
      <c r="C28" s="3">
        <v>1.5594210170255947</v>
      </c>
      <c r="D28" s="3">
        <v>8.284474010598715E-2</v>
      </c>
      <c r="E28" s="4">
        <f t="shared" si="0"/>
        <v>617.48394011162463</v>
      </c>
      <c r="F28" s="4">
        <f t="shared" si="1"/>
        <v>32.804031739767737</v>
      </c>
      <c r="G28" s="5">
        <v>2</v>
      </c>
      <c r="H28" s="5">
        <v>3</v>
      </c>
      <c r="I28" s="5">
        <v>6</v>
      </c>
      <c r="J28" s="5">
        <v>7</v>
      </c>
      <c r="K28" s="5"/>
      <c r="L28" s="5"/>
      <c r="M28" s="5">
        <v>10</v>
      </c>
      <c r="N28" s="5">
        <f t="shared" si="3"/>
        <v>28</v>
      </c>
    </row>
    <row r="29" spans="1:14" x14ac:dyDescent="0.25">
      <c r="A29" s="1">
        <v>45897</v>
      </c>
      <c r="B29" s="2">
        <v>39827</v>
      </c>
      <c r="C29" s="3">
        <v>1.5594210170255947</v>
      </c>
      <c r="D29" s="3">
        <v>8.284474010598715E-2</v>
      </c>
      <c r="E29" s="4">
        <f t="shared" si="0"/>
        <v>621.07060845078365</v>
      </c>
      <c r="F29" s="4">
        <f t="shared" si="1"/>
        <v>32.9945746420115</v>
      </c>
      <c r="G29" s="5">
        <v>2</v>
      </c>
      <c r="H29" s="5">
        <v>3</v>
      </c>
      <c r="I29" s="5">
        <v>6</v>
      </c>
      <c r="J29" s="5">
        <v>7</v>
      </c>
      <c r="K29" s="5"/>
      <c r="L29" s="5"/>
      <c r="M29" s="5">
        <v>10</v>
      </c>
      <c r="N29" s="5">
        <f t="shared" si="3"/>
        <v>28</v>
      </c>
    </row>
    <row r="30" spans="1:14" x14ac:dyDescent="0.25">
      <c r="A30" s="1">
        <v>45898</v>
      </c>
      <c r="B30" s="2">
        <v>39473</v>
      </c>
      <c r="C30" s="3">
        <v>1.5594210170255947</v>
      </c>
      <c r="D30" s="3">
        <v>8.284474010598715E-2</v>
      </c>
      <c r="E30" s="4">
        <f t="shared" si="0"/>
        <v>615.55025805051298</v>
      </c>
      <c r="F30" s="4">
        <f t="shared" si="1"/>
        <v>32.701304262036302</v>
      </c>
      <c r="G30" s="5">
        <v>2</v>
      </c>
      <c r="H30" s="5">
        <v>3</v>
      </c>
      <c r="I30" s="5">
        <v>6</v>
      </c>
      <c r="J30" s="5">
        <v>7</v>
      </c>
      <c r="K30" s="5"/>
      <c r="L30" s="5"/>
      <c r="M30" s="5">
        <v>10</v>
      </c>
      <c r="N30" s="5">
        <f t="shared" si="3"/>
        <v>28</v>
      </c>
    </row>
    <row r="31" spans="1:14" x14ac:dyDescent="0.25">
      <c r="A31" s="1">
        <v>45899</v>
      </c>
      <c r="B31" s="2">
        <v>39689</v>
      </c>
      <c r="C31" s="3">
        <v>1.5594210170255947</v>
      </c>
      <c r="D31" s="3">
        <v>8.284474010598715E-2</v>
      </c>
      <c r="E31" s="4">
        <f t="shared" si="0"/>
        <v>618.9186074472882</v>
      </c>
      <c r="F31" s="4">
        <f t="shared" si="1"/>
        <v>32.880248900665237</v>
      </c>
      <c r="G31" s="5">
        <v>2</v>
      </c>
      <c r="H31" s="5">
        <v>3</v>
      </c>
      <c r="I31" s="5">
        <v>6</v>
      </c>
      <c r="J31" s="5">
        <v>7</v>
      </c>
      <c r="K31" s="5"/>
      <c r="L31" s="5"/>
      <c r="M31" s="5">
        <v>10</v>
      </c>
      <c r="N31" s="5">
        <f t="shared" si="3"/>
        <v>28</v>
      </c>
    </row>
    <row r="32" spans="1:14" x14ac:dyDescent="0.25">
      <c r="A32" s="1">
        <v>45900</v>
      </c>
      <c r="B32" s="2">
        <v>28510</v>
      </c>
      <c r="C32" s="3">
        <v>1.5594210170255947</v>
      </c>
      <c r="D32" s="3">
        <v>8.284474010598715E-2</v>
      </c>
      <c r="E32" s="4">
        <f t="shared" si="0"/>
        <v>444.59093195399709</v>
      </c>
      <c r="F32" s="4">
        <f t="shared" si="1"/>
        <v>23.619035404216937</v>
      </c>
      <c r="G32" s="5">
        <v>1</v>
      </c>
      <c r="H32" s="5">
        <v>4</v>
      </c>
      <c r="I32" s="5">
        <v>6</v>
      </c>
      <c r="J32" s="5">
        <v>7</v>
      </c>
      <c r="K32" s="5"/>
      <c r="L32" s="5"/>
      <c r="M32" s="5">
        <v>3</v>
      </c>
      <c r="N32" s="5">
        <f t="shared" si="3"/>
        <v>21</v>
      </c>
    </row>
    <row r="33" spans="1:14" x14ac:dyDescent="0.25">
      <c r="A33" s="1">
        <v>45901</v>
      </c>
      <c r="B33" s="2">
        <v>34732</v>
      </c>
      <c r="C33" s="3">
        <v>1.5594210170255947</v>
      </c>
      <c r="D33" s="3">
        <v>8.284474010598715E-2</v>
      </c>
      <c r="E33" s="4">
        <f t="shared" si="0"/>
        <v>541.6181076333296</v>
      </c>
      <c r="F33" s="4">
        <f t="shared" si="1"/>
        <v>28.773635133611457</v>
      </c>
      <c r="G33" s="5">
        <v>1</v>
      </c>
      <c r="H33" s="5">
        <v>4</v>
      </c>
      <c r="I33" s="5">
        <v>5</v>
      </c>
      <c r="J33" s="5">
        <v>6</v>
      </c>
      <c r="K33" s="5"/>
      <c r="L33" s="5"/>
      <c r="M33" s="5">
        <v>7</v>
      </c>
      <c r="N33" s="5">
        <f t="shared" si="3"/>
        <v>23</v>
      </c>
    </row>
    <row r="34" spans="1:14" x14ac:dyDescent="0.25">
      <c r="A34" s="1">
        <v>45902</v>
      </c>
      <c r="B34" s="2">
        <v>6045</v>
      </c>
      <c r="C34" s="3">
        <v>1.6310884166181223</v>
      </c>
      <c r="D34" s="3">
        <v>8.6740496950280979E-2</v>
      </c>
      <c r="E34" s="4">
        <f t="shared" si="0"/>
        <v>98.599294784565501</v>
      </c>
      <c r="F34" s="4">
        <f t="shared" si="1"/>
        <v>5.2434630406444853</v>
      </c>
      <c r="G34" s="5">
        <v>1</v>
      </c>
      <c r="H34" s="5">
        <v>4</v>
      </c>
      <c r="I34" s="5">
        <v>5</v>
      </c>
      <c r="J34" s="5">
        <v>4</v>
      </c>
      <c r="K34" s="5"/>
      <c r="L34" s="5"/>
      <c r="M34" s="5">
        <v>0</v>
      </c>
      <c r="N34" s="5">
        <f t="shared" si="3"/>
        <v>14</v>
      </c>
    </row>
    <row r="35" spans="1:14" x14ac:dyDescent="0.25">
      <c r="A35" s="1">
        <v>45903</v>
      </c>
      <c r="B35" s="2">
        <v>32906</v>
      </c>
      <c r="C35" s="3">
        <v>1.6310884166181223</v>
      </c>
      <c r="D35" s="3">
        <v>8.6740496950280979E-2</v>
      </c>
      <c r="E35" s="4">
        <f t="shared" si="0"/>
        <v>536.7259543723593</v>
      </c>
      <c r="F35" s="4">
        <f t="shared" si="1"/>
        <v>28.542827926459459</v>
      </c>
      <c r="G35" s="5">
        <v>0</v>
      </c>
      <c r="H35" s="5">
        <v>4</v>
      </c>
      <c r="I35" s="5">
        <v>5</v>
      </c>
      <c r="J35" s="5">
        <v>6</v>
      </c>
      <c r="K35" s="5"/>
      <c r="L35" s="5"/>
      <c r="M35" s="5">
        <v>10</v>
      </c>
      <c r="N35" s="5">
        <f t="shared" si="3"/>
        <v>25</v>
      </c>
    </row>
    <row r="36" spans="1:14" x14ac:dyDescent="0.25">
      <c r="A36" s="1">
        <v>45904</v>
      </c>
      <c r="B36" s="2">
        <v>35642</v>
      </c>
      <c r="C36" s="3">
        <v>1.63</v>
      </c>
      <c r="D36" s="3">
        <v>0.09</v>
      </c>
      <c r="E36" s="4">
        <f t="shared" si="0"/>
        <v>580.96460000000002</v>
      </c>
      <c r="F36" s="4">
        <f t="shared" si="1"/>
        <v>32.077799999999996</v>
      </c>
      <c r="G36" s="5">
        <v>0</v>
      </c>
      <c r="H36" s="5">
        <v>4</v>
      </c>
      <c r="I36" s="5">
        <v>5</v>
      </c>
      <c r="J36" s="5">
        <v>6</v>
      </c>
      <c r="K36" s="5"/>
      <c r="L36" s="5"/>
      <c r="M36" s="5">
        <v>10</v>
      </c>
      <c r="N36" s="5">
        <f t="shared" si="3"/>
        <v>25</v>
      </c>
    </row>
    <row r="37" spans="1:14" x14ac:dyDescent="0.25">
      <c r="A37" s="1">
        <v>45905</v>
      </c>
      <c r="B37" s="2">
        <v>40960</v>
      </c>
      <c r="C37" s="3">
        <v>1.6310884166181223</v>
      </c>
      <c r="D37" s="3">
        <v>8.6740496950280979E-2</v>
      </c>
      <c r="E37" s="4">
        <f t="shared" si="0"/>
        <v>668.09381544678297</v>
      </c>
      <c r="F37" s="4">
        <f t="shared" si="1"/>
        <v>35.528907550835086</v>
      </c>
      <c r="G37" s="5">
        <v>1</v>
      </c>
      <c r="H37" s="5">
        <v>4</v>
      </c>
      <c r="I37" s="5">
        <v>6</v>
      </c>
      <c r="J37" s="5">
        <v>7</v>
      </c>
      <c r="K37" s="5"/>
      <c r="L37" s="5"/>
      <c r="M37" s="5">
        <v>10</v>
      </c>
      <c r="N37" s="5">
        <f t="shared" si="3"/>
        <v>28</v>
      </c>
    </row>
    <row r="38" spans="1:14" x14ac:dyDescent="0.25">
      <c r="A38" s="1">
        <v>45906</v>
      </c>
      <c r="B38" s="2">
        <v>41367</v>
      </c>
      <c r="C38" s="3">
        <v>1.6310884166181223</v>
      </c>
      <c r="D38" s="3">
        <v>8.6740496950280979E-2</v>
      </c>
      <c r="E38" s="4">
        <f t="shared" si="0"/>
        <v>674.73234530241871</v>
      </c>
      <c r="F38" s="4">
        <f t="shared" si="1"/>
        <v>35.881941373422734</v>
      </c>
      <c r="G38" s="5">
        <v>3</v>
      </c>
      <c r="H38" s="5">
        <v>4</v>
      </c>
      <c r="I38" s="5">
        <v>6</v>
      </c>
      <c r="J38" s="5">
        <v>7</v>
      </c>
      <c r="K38" s="5"/>
      <c r="L38" s="5"/>
      <c r="M38" s="5">
        <v>10</v>
      </c>
      <c r="N38" s="5">
        <f t="shared" si="3"/>
        <v>30</v>
      </c>
    </row>
    <row r="39" spans="1:14" x14ac:dyDescent="0.25">
      <c r="A39" s="1">
        <v>45907</v>
      </c>
      <c r="B39" s="2">
        <v>37016</v>
      </c>
      <c r="C39" s="3">
        <v>1.6310884166181223</v>
      </c>
      <c r="D39" s="3">
        <v>8.6740496950280979E-2</v>
      </c>
      <c r="E39" s="4">
        <f t="shared" si="0"/>
        <v>603.7636882953642</v>
      </c>
      <c r="F39" s="4">
        <f t="shared" si="1"/>
        <v>32.107862351116012</v>
      </c>
      <c r="G39" s="5">
        <v>3</v>
      </c>
      <c r="H39" s="5">
        <v>4</v>
      </c>
      <c r="I39" s="5">
        <v>6</v>
      </c>
      <c r="J39" s="5">
        <v>7</v>
      </c>
      <c r="K39" s="5"/>
      <c r="L39" s="5"/>
      <c r="M39" s="5">
        <v>10</v>
      </c>
      <c r="N39" s="5">
        <f t="shared" si="3"/>
        <v>30</v>
      </c>
    </row>
    <row r="40" spans="1:14" x14ac:dyDescent="0.25">
      <c r="A40" s="1">
        <v>45908</v>
      </c>
      <c r="B40" s="2">
        <v>40537</v>
      </c>
      <c r="C40" s="3">
        <v>1.6310884166181223</v>
      </c>
      <c r="D40" s="3">
        <v>8.6740496950280979E-2</v>
      </c>
      <c r="E40" s="4">
        <f t="shared" si="0"/>
        <v>661.19431144448822</v>
      </c>
      <c r="F40" s="4">
        <f t="shared" si="1"/>
        <v>35.161995248735401</v>
      </c>
      <c r="G40" s="5">
        <v>3</v>
      </c>
      <c r="H40" s="5">
        <v>4</v>
      </c>
      <c r="I40" s="5">
        <v>6</v>
      </c>
      <c r="J40" s="5">
        <v>7</v>
      </c>
      <c r="K40" s="5"/>
      <c r="L40" s="5"/>
      <c r="M40" s="5">
        <v>10</v>
      </c>
      <c r="N40" s="5">
        <f t="shared" si="3"/>
        <v>30</v>
      </c>
    </row>
    <row r="41" spans="1:14" x14ac:dyDescent="0.25">
      <c r="A41" s="1">
        <v>45909</v>
      </c>
      <c r="B41" s="2">
        <v>41168</v>
      </c>
      <c r="C41" s="3">
        <v>1.6310884166181223</v>
      </c>
      <c r="D41" s="3">
        <v>8.6740496950280979E-2</v>
      </c>
      <c r="E41" s="4">
        <f t="shared" si="0"/>
        <v>671.4864793533485</v>
      </c>
      <c r="F41" s="4">
        <f t="shared" si="1"/>
        <v>35.709327784491677</v>
      </c>
      <c r="G41" s="5">
        <v>3</v>
      </c>
      <c r="H41" s="5">
        <v>4</v>
      </c>
      <c r="I41" s="5">
        <v>6</v>
      </c>
      <c r="J41" s="5">
        <v>7</v>
      </c>
      <c r="K41" s="5"/>
      <c r="L41" s="5"/>
      <c r="M41" s="5">
        <v>10</v>
      </c>
      <c r="N41" s="5">
        <f t="shared" si="3"/>
        <v>30</v>
      </c>
    </row>
    <row r="42" spans="1:14" x14ac:dyDescent="0.25">
      <c r="A42" s="1">
        <v>45910</v>
      </c>
      <c r="B42" s="2">
        <v>35740</v>
      </c>
      <c r="C42" s="3">
        <v>1.6310884166181223</v>
      </c>
      <c r="D42" s="3">
        <v>8.6740496950280979E-2</v>
      </c>
      <c r="E42" s="4">
        <f t="shared" si="0"/>
        <v>582.95100009931684</v>
      </c>
      <c r="F42" s="4">
        <f t="shared" si="1"/>
        <v>31.001053610030421</v>
      </c>
      <c r="G42" s="5">
        <v>3</v>
      </c>
      <c r="H42" s="5">
        <v>4</v>
      </c>
      <c r="I42" s="5">
        <v>6</v>
      </c>
      <c r="J42" s="5">
        <v>7</v>
      </c>
      <c r="K42" s="5"/>
      <c r="L42" s="5"/>
      <c r="M42" s="5">
        <v>10</v>
      </c>
      <c r="N42" s="5">
        <f t="shared" si="3"/>
        <v>30</v>
      </c>
    </row>
    <row r="43" spans="1:14" x14ac:dyDescent="0.25">
      <c r="A43" s="1">
        <v>45911</v>
      </c>
      <c r="B43" s="2">
        <v>35343</v>
      </c>
      <c r="C43" s="3">
        <v>1.6310884166181223</v>
      </c>
      <c r="D43" s="3">
        <v>8.6740496950280979E-2</v>
      </c>
      <c r="E43" s="4">
        <f t="shared" si="0"/>
        <v>576.47557908534293</v>
      </c>
      <c r="F43" s="4">
        <f t="shared" si="1"/>
        <v>30.656693837137805</v>
      </c>
      <c r="G43" s="5">
        <v>3</v>
      </c>
      <c r="H43" s="5">
        <v>4</v>
      </c>
      <c r="I43" s="5">
        <v>6</v>
      </c>
      <c r="J43" s="5">
        <v>7</v>
      </c>
      <c r="K43" s="5"/>
      <c r="L43" s="5"/>
      <c r="M43" s="5">
        <v>10</v>
      </c>
      <c r="N43" s="5">
        <f t="shared" si="3"/>
        <v>30</v>
      </c>
    </row>
    <row r="44" spans="1:14" x14ac:dyDescent="0.25">
      <c r="A44" s="1">
        <v>45912</v>
      </c>
      <c r="B44" s="2">
        <v>34926</v>
      </c>
      <c r="C44" s="3">
        <v>1.6310884166181223</v>
      </c>
      <c r="D44" s="3">
        <v>8.6740496950280979E-2</v>
      </c>
      <c r="E44" s="4">
        <f t="shared" si="0"/>
        <v>569.67394038804537</v>
      </c>
      <c r="F44" s="4">
        <f t="shared" si="1"/>
        <v>30.294985964855137</v>
      </c>
      <c r="G44" s="5">
        <v>3</v>
      </c>
      <c r="H44" s="5">
        <v>4</v>
      </c>
      <c r="I44" s="5">
        <v>6</v>
      </c>
      <c r="J44" s="5">
        <v>7</v>
      </c>
      <c r="K44" s="5"/>
      <c r="L44" s="5"/>
      <c r="M44" s="5">
        <v>10</v>
      </c>
      <c r="N44" s="5">
        <f t="shared" si="3"/>
        <v>30</v>
      </c>
    </row>
    <row r="45" spans="1:14" x14ac:dyDescent="0.25">
      <c r="A45" s="1">
        <v>45913</v>
      </c>
      <c r="B45" s="2">
        <v>34494</v>
      </c>
      <c r="C45" s="3">
        <v>1.6310884166181223</v>
      </c>
      <c r="D45" s="3">
        <v>8.6740496950280979E-2</v>
      </c>
      <c r="E45" s="4">
        <f t="shared" si="0"/>
        <v>562.62763842825507</v>
      </c>
      <c r="F45" s="4">
        <f t="shared" si="1"/>
        <v>29.920267018029922</v>
      </c>
      <c r="G45" s="5">
        <v>3</v>
      </c>
      <c r="H45" s="5">
        <v>4</v>
      </c>
      <c r="I45" s="5">
        <v>6</v>
      </c>
      <c r="J45" s="5">
        <v>7</v>
      </c>
      <c r="K45" s="5"/>
      <c r="L45" s="5"/>
      <c r="M45" s="5">
        <v>10</v>
      </c>
      <c r="N45" s="5">
        <f t="shared" si="3"/>
        <v>30</v>
      </c>
    </row>
    <row r="46" spans="1:14" x14ac:dyDescent="0.25">
      <c r="A46" s="1">
        <v>45914</v>
      </c>
      <c r="B46" s="2">
        <v>39408</v>
      </c>
      <c r="C46" s="3">
        <v>1.6310884166181223</v>
      </c>
      <c r="D46" s="3">
        <v>8.6740496950280979E-2</v>
      </c>
      <c r="E46" s="4">
        <f t="shared" si="0"/>
        <v>642.77932322086963</v>
      </c>
      <c r="F46" s="4">
        <f t="shared" si="1"/>
        <v>34.182695038166727</v>
      </c>
      <c r="G46" s="5">
        <v>3</v>
      </c>
      <c r="H46" s="5">
        <v>4</v>
      </c>
      <c r="I46" s="5">
        <v>6</v>
      </c>
      <c r="J46" s="5">
        <v>7</v>
      </c>
      <c r="K46" s="5"/>
      <c r="L46" s="5"/>
      <c r="M46" s="5">
        <v>10</v>
      </c>
      <c r="N46" s="5">
        <f t="shared" si="3"/>
        <v>30</v>
      </c>
    </row>
    <row r="47" spans="1:14" x14ac:dyDescent="0.25">
      <c r="A47" s="1">
        <v>45915</v>
      </c>
      <c r="B47" s="2">
        <v>40767</v>
      </c>
      <c r="C47" s="3">
        <v>1.6310884166181223</v>
      </c>
      <c r="D47" s="3">
        <v>8.6740496950280979E-2</v>
      </c>
      <c r="E47" s="4">
        <f t="shared" si="0"/>
        <v>664.94581480270995</v>
      </c>
      <c r="F47" s="4">
        <f t="shared" si="1"/>
        <v>35.361498391721049</v>
      </c>
      <c r="G47" s="5">
        <v>3</v>
      </c>
      <c r="H47" s="5">
        <v>4</v>
      </c>
      <c r="I47" s="5">
        <v>6</v>
      </c>
      <c r="J47" s="5">
        <v>7</v>
      </c>
      <c r="K47" s="5"/>
      <c r="L47" s="5"/>
      <c r="M47" s="5">
        <v>10</v>
      </c>
      <c r="N47" s="5">
        <f t="shared" si="3"/>
        <v>30</v>
      </c>
    </row>
    <row r="48" spans="1:14" x14ac:dyDescent="0.25">
      <c r="A48" s="1">
        <v>45916</v>
      </c>
      <c r="B48" s="2">
        <v>40819</v>
      </c>
      <c r="C48" s="3">
        <v>1.6310884166181223</v>
      </c>
      <c r="D48" s="3">
        <v>8.6740496950280979E-2</v>
      </c>
      <c r="E48" s="4">
        <f t="shared" si="0"/>
        <v>665.79398077935139</v>
      </c>
      <c r="F48" s="4">
        <f t="shared" si="1"/>
        <v>35.406603450135194</v>
      </c>
      <c r="G48" s="5">
        <v>3</v>
      </c>
      <c r="H48" s="5">
        <v>4</v>
      </c>
      <c r="I48" s="5">
        <v>6</v>
      </c>
      <c r="J48" s="5">
        <v>7</v>
      </c>
      <c r="K48" s="5"/>
      <c r="L48" s="5"/>
      <c r="M48" s="5">
        <v>10</v>
      </c>
      <c r="N48" s="5">
        <f t="shared" si="3"/>
        <v>30</v>
      </c>
    </row>
    <row r="49" spans="1:14" x14ac:dyDescent="0.25">
      <c r="A49" s="1">
        <v>45917</v>
      </c>
      <c r="B49" s="2">
        <v>39925</v>
      </c>
      <c r="C49" s="3">
        <v>1.6310884166181223</v>
      </c>
      <c r="D49" s="3">
        <v>8.6740496950280979E-2</v>
      </c>
      <c r="E49" s="4">
        <f t="shared" si="0"/>
        <v>651.21205033478532</v>
      </c>
      <c r="F49" s="4">
        <f t="shared" si="1"/>
        <v>34.631143407399684</v>
      </c>
      <c r="G49" s="5">
        <v>3</v>
      </c>
      <c r="H49" s="5">
        <v>4</v>
      </c>
      <c r="I49" s="5">
        <v>6</v>
      </c>
      <c r="J49" s="5">
        <v>7</v>
      </c>
      <c r="K49" s="5"/>
      <c r="L49" s="5"/>
      <c r="M49" s="5">
        <v>10</v>
      </c>
      <c r="N49" s="5">
        <f t="shared" si="3"/>
        <v>30</v>
      </c>
    </row>
    <row r="50" spans="1:14" x14ac:dyDescent="0.25">
      <c r="A50" s="1">
        <v>45918</v>
      </c>
      <c r="B50" s="2">
        <v>40692</v>
      </c>
      <c r="C50" s="3">
        <v>1.6310884166181223</v>
      </c>
      <c r="D50" s="3">
        <v>8.6740496950280979E-2</v>
      </c>
      <c r="E50" s="4">
        <f t="shared" si="0"/>
        <v>663.72249849024638</v>
      </c>
      <c r="F50" s="4">
        <f t="shared" si="1"/>
        <v>35.296443019008336</v>
      </c>
      <c r="G50" s="5">
        <v>3</v>
      </c>
      <c r="H50" s="5">
        <v>4</v>
      </c>
      <c r="I50" s="5">
        <v>6</v>
      </c>
      <c r="J50" s="5">
        <v>7</v>
      </c>
      <c r="K50" s="5"/>
      <c r="L50" s="5"/>
      <c r="M50" s="5">
        <v>10</v>
      </c>
      <c r="N50" s="5">
        <f t="shared" si="3"/>
        <v>30</v>
      </c>
    </row>
    <row r="51" spans="1:14" x14ac:dyDescent="0.25">
      <c r="A51" s="1">
        <v>45919</v>
      </c>
      <c r="B51" s="2">
        <v>38310</v>
      </c>
      <c r="C51" s="3">
        <v>1.6310884166181223</v>
      </c>
      <c r="D51" s="3">
        <v>8.6740496950280979E-2</v>
      </c>
      <c r="E51" s="4">
        <f t="shared" si="0"/>
        <v>624.86997240640267</v>
      </c>
      <c r="F51" s="4">
        <f t="shared" si="1"/>
        <v>33.230284381652638</v>
      </c>
      <c r="G51" s="5">
        <v>1</v>
      </c>
      <c r="H51" s="5">
        <v>4</v>
      </c>
      <c r="I51" s="5">
        <v>6</v>
      </c>
      <c r="J51" s="5">
        <v>7</v>
      </c>
      <c r="K51" s="5"/>
      <c r="L51" s="5"/>
      <c r="M51" s="5">
        <v>10</v>
      </c>
      <c r="N51" s="5">
        <f t="shared" si="3"/>
        <v>28</v>
      </c>
    </row>
    <row r="52" spans="1:14" x14ac:dyDescent="0.25">
      <c r="A52" s="1">
        <v>45920</v>
      </c>
      <c r="B52" s="2">
        <v>33306</v>
      </c>
      <c r="C52" s="3">
        <v>1.6310884166181223</v>
      </c>
      <c r="D52" s="3">
        <v>8.6740496950280979E-2</v>
      </c>
      <c r="E52" s="4">
        <f t="shared" si="0"/>
        <v>543.2503080388318</v>
      </c>
      <c r="F52" s="4">
        <f t="shared" si="1"/>
        <v>28.889789914260582</v>
      </c>
      <c r="G52" s="5">
        <v>1</v>
      </c>
      <c r="H52" s="5">
        <v>4</v>
      </c>
      <c r="I52" s="5">
        <v>6</v>
      </c>
      <c r="J52" s="5">
        <v>7</v>
      </c>
      <c r="K52" s="5"/>
      <c r="L52" s="5"/>
      <c r="M52" s="5">
        <v>10</v>
      </c>
      <c r="N52" s="5">
        <f t="shared" si="3"/>
        <v>28</v>
      </c>
    </row>
    <row r="53" spans="1:14" x14ac:dyDescent="0.25">
      <c r="A53" s="1">
        <v>45921</v>
      </c>
      <c r="B53" s="2">
        <v>16907</v>
      </c>
      <c r="C53" s="3">
        <v>1.6310884166181223</v>
      </c>
      <c r="D53" s="3">
        <v>8.6740496950280979E-2</v>
      </c>
      <c r="E53" s="4">
        <f t="shared" si="0"/>
        <v>275.76811859762597</v>
      </c>
      <c r="F53" s="4">
        <f t="shared" si="1"/>
        <v>14.665215819384004</v>
      </c>
      <c r="G53" s="5">
        <v>1</v>
      </c>
      <c r="H53" s="5">
        <v>5</v>
      </c>
      <c r="I53" s="5">
        <v>4</v>
      </c>
      <c r="J53" s="5">
        <v>3</v>
      </c>
      <c r="K53" s="5"/>
      <c r="L53" s="5"/>
      <c r="M53" s="5">
        <v>0</v>
      </c>
      <c r="N53" s="5">
        <f t="shared" si="3"/>
        <v>13</v>
      </c>
    </row>
    <row r="54" spans="1:14" x14ac:dyDescent="0.25">
      <c r="A54" s="1">
        <v>45922</v>
      </c>
      <c r="B54" s="2">
        <v>29301</v>
      </c>
      <c r="C54" s="3">
        <v>1.6310884166181223</v>
      </c>
      <c r="D54" s="3">
        <v>8.6740496950280979E-2</v>
      </c>
      <c r="E54" s="4">
        <f t="shared" si="0"/>
        <v>477.92521695327605</v>
      </c>
      <c r="F54" s="4">
        <f t="shared" si="1"/>
        <v>25.41583301140183</v>
      </c>
      <c r="G54" s="5">
        <v>2</v>
      </c>
      <c r="H54" s="5">
        <v>5</v>
      </c>
      <c r="I54" s="5">
        <v>5</v>
      </c>
      <c r="J54" s="5">
        <v>6</v>
      </c>
      <c r="K54" s="5"/>
      <c r="L54" s="5"/>
      <c r="M54" s="5">
        <v>7</v>
      </c>
      <c r="N54" s="5">
        <f t="shared" si="3"/>
        <v>25</v>
      </c>
    </row>
    <row r="55" spans="1:14" x14ac:dyDescent="0.25">
      <c r="A55" s="1">
        <v>45923</v>
      </c>
      <c r="B55" s="2">
        <v>36535</v>
      </c>
      <c r="C55" s="3">
        <v>1.6310884166181223</v>
      </c>
      <c r="D55" s="3">
        <v>8.6740496950280979E-2</v>
      </c>
      <c r="E55" s="4">
        <f t="shared" si="0"/>
        <v>595.91815301143095</v>
      </c>
      <c r="F55" s="4">
        <f t="shared" si="1"/>
        <v>31.690640560785155</v>
      </c>
      <c r="G55" s="5">
        <v>2</v>
      </c>
      <c r="H55" s="5">
        <v>5</v>
      </c>
      <c r="I55" s="5">
        <v>5</v>
      </c>
      <c r="J55" s="5">
        <v>6</v>
      </c>
      <c r="K55" s="5"/>
      <c r="L55" s="5"/>
      <c r="M55" s="5">
        <v>7</v>
      </c>
      <c r="N55" s="5">
        <f t="shared" si="3"/>
        <v>25</v>
      </c>
    </row>
    <row r="56" spans="1:14" x14ac:dyDescent="0.25">
      <c r="A56" s="1">
        <v>45924</v>
      </c>
      <c r="B56" s="2">
        <v>30961</v>
      </c>
      <c r="C56" s="3">
        <v>1.6310884166181223</v>
      </c>
      <c r="D56" s="3">
        <v>8.6740496950280979E-2</v>
      </c>
      <c r="E56" s="4">
        <f t="shared" si="0"/>
        <v>505.00128466913685</v>
      </c>
      <c r="F56" s="4">
        <f t="shared" si="1"/>
        <v>26.855725260776495</v>
      </c>
      <c r="G56" s="5">
        <v>1</v>
      </c>
      <c r="H56" s="5">
        <v>5</v>
      </c>
      <c r="I56" s="5">
        <v>5</v>
      </c>
      <c r="J56" s="5">
        <v>6</v>
      </c>
      <c r="K56" s="5"/>
      <c r="L56" s="5"/>
      <c r="M56" s="5">
        <v>7</v>
      </c>
      <c r="N56" s="5">
        <f t="shared" si="3"/>
        <v>24</v>
      </c>
    </row>
    <row r="57" spans="1:14" x14ac:dyDescent="0.25">
      <c r="A57" s="1">
        <v>45925</v>
      </c>
      <c r="B57" s="2">
        <v>33687</v>
      </c>
      <c r="C57" s="3">
        <v>1.6310884166181223</v>
      </c>
      <c r="D57" s="3">
        <v>8.6740496950280979E-2</v>
      </c>
      <c r="E57" s="4">
        <f t="shared" si="0"/>
        <v>549.46475490614682</v>
      </c>
      <c r="F57" s="4">
        <f t="shared" si="1"/>
        <v>29.220271207641154</v>
      </c>
      <c r="G57" s="5">
        <v>2</v>
      </c>
      <c r="H57" s="5">
        <v>5</v>
      </c>
      <c r="I57" s="5">
        <v>4</v>
      </c>
      <c r="J57" s="5">
        <v>6</v>
      </c>
      <c r="K57" s="5"/>
      <c r="L57" s="5"/>
      <c r="M57" s="5">
        <v>7</v>
      </c>
      <c r="N57" s="5">
        <f t="shared" si="3"/>
        <v>24</v>
      </c>
    </row>
    <row r="58" spans="1:14" x14ac:dyDescent="0.25">
      <c r="A58" s="1">
        <v>45926</v>
      </c>
      <c r="B58" s="2">
        <v>35835</v>
      </c>
      <c r="C58" s="3">
        <v>1.6310884166181223</v>
      </c>
      <c r="D58" s="3">
        <v>8.6740496950280979E-2</v>
      </c>
      <c r="E58" s="4">
        <f t="shared" si="0"/>
        <v>584.50053409510417</v>
      </c>
      <c r="F58" s="4">
        <f t="shared" si="1"/>
        <v>31.08345708213319</v>
      </c>
      <c r="G58" s="5">
        <v>2</v>
      </c>
      <c r="H58" s="5">
        <v>5</v>
      </c>
      <c r="I58" s="5">
        <v>6</v>
      </c>
      <c r="J58" s="5">
        <v>6</v>
      </c>
      <c r="K58" s="5"/>
      <c r="L58" s="5"/>
      <c r="M58" s="5">
        <v>8</v>
      </c>
      <c r="N58" s="5">
        <f t="shared" si="3"/>
        <v>27</v>
      </c>
    </row>
    <row r="59" spans="1:14" x14ac:dyDescent="0.25">
      <c r="A59" s="1">
        <v>45927</v>
      </c>
      <c r="B59" s="2">
        <v>34716</v>
      </c>
      <c r="C59" s="3">
        <v>1.6310884166181223</v>
      </c>
      <c r="D59" s="3">
        <v>8.6740496950280979E-2</v>
      </c>
      <c r="E59" s="4">
        <f t="shared" si="0"/>
        <v>566.24865471314729</v>
      </c>
      <c r="F59" s="4">
        <f t="shared" si="1"/>
        <v>30.112830921259548</v>
      </c>
      <c r="G59" s="5">
        <v>2</v>
      </c>
      <c r="H59" s="5">
        <v>5</v>
      </c>
      <c r="I59" s="5">
        <v>6</v>
      </c>
      <c r="J59" s="5">
        <v>6</v>
      </c>
      <c r="K59" s="5"/>
      <c r="L59" s="5"/>
      <c r="M59" s="5">
        <v>8</v>
      </c>
      <c r="N59" s="5">
        <f t="shared" si="3"/>
        <v>27</v>
      </c>
    </row>
    <row r="60" spans="1:14" x14ac:dyDescent="0.25">
      <c r="A60" s="1">
        <v>45928</v>
      </c>
      <c r="B60" s="6">
        <v>34716</v>
      </c>
      <c r="C60" s="7">
        <v>1.6310884166181223</v>
      </c>
      <c r="D60" s="7">
        <v>8.6740496950280979E-2</v>
      </c>
      <c r="E60" s="8">
        <f t="shared" si="0"/>
        <v>566.24865471314729</v>
      </c>
      <c r="F60" s="8">
        <f t="shared" si="1"/>
        <v>30.112830921259548</v>
      </c>
      <c r="G60" s="9">
        <v>2</v>
      </c>
      <c r="H60" s="9">
        <v>5</v>
      </c>
      <c r="I60" s="9">
        <v>6</v>
      </c>
      <c r="J60" s="9">
        <v>6</v>
      </c>
      <c r="K60" s="9"/>
      <c r="L60" s="9"/>
      <c r="M60" s="9">
        <v>8</v>
      </c>
      <c r="N60" s="9">
        <f t="shared" si="3"/>
        <v>27</v>
      </c>
    </row>
    <row r="61" spans="1:14" x14ac:dyDescent="0.25">
      <c r="A61" s="1">
        <v>45929</v>
      </c>
      <c r="B61" s="2">
        <v>35617</v>
      </c>
      <c r="C61" s="3">
        <v>1.6310884166181223</v>
      </c>
      <c r="D61" s="3">
        <v>8.6740496950280979E-2</v>
      </c>
      <c r="E61" s="4">
        <f t="shared" si="0"/>
        <v>580.94476134687659</v>
      </c>
      <c r="F61" s="4">
        <f t="shared" si="1"/>
        <v>30.894362798781575</v>
      </c>
      <c r="G61" s="5">
        <v>2</v>
      </c>
      <c r="H61" s="5">
        <v>5</v>
      </c>
      <c r="I61" s="5">
        <v>6</v>
      </c>
      <c r="J61" s="5">
        <v>6</v>
      </c>
      <c r="K61" s="5"/>
      <c r="L61" s="5"/>
      <c r="M61" s="5">
        <v>8</v>
      </c>
      <c r="N61" s="5">
        <f t="shared" si="3"/>
        <v>27</v>
      </c>
    </row>
    <row r="62" spans="1:14" x14ac:dyDescent="0.25">
      <c r="A62" s="1">
        <v>45930</v>
      </c>
      <c r="B62" s="10">
        <v>31069</v>
      </c>
      <c r="C62" s="11">
        <v>1.6310884166181223</v>
      </c>
      <c r="D62" s="11">
        <v>8.6740496950280979E-2</v>
      </c>
      <c r="E62" s="12">
        <f t="shared" si="0"/>
        <v>506.76286015908443</v>
      </c>
      <c r="F62" s="12">
        <f t="shared" si="1"/>
        <v>26.949404997482798</v>
      </c>
      <c r="G62" s="13">
        <v>1</v>
      </c>
      <c r="H62" s="13">
        <v>5</v>
      </c>
      <c r="I62" s="13">
        <v>4</v>
      </c>
      <c r="J62" s="13">
        <v>6</v>
      </c>
      <c r="K62" s="13"/>
      <c r="L62" s="13"/>
      <c r="M62" s="13">
        <v>8</v>
      </c>
      <c r="N62" s="5">
        <f t="shared" si="3"/>
        <v>24</v>
      </c>
    </row>
    <row r="63" spans="1:14" x14ac:dyDescent="0.25">
      <c r="A63" s="1">
        <v>45931</v>
      </c>
      <c r="B63" s="10">
        <v>30586</v>
      </c>
      <c r="C63" s="11">
        <v>1.6310884166181223</v>
      </c>
      <c r="D63" s="11">
        <v>8.6740496950280979E-2</v>
      </c>
      <c r="E63" s="12">
        <f t="shared" si="0"/>
        <v>498.8847031068189</v>
      </c>
      <c r="F63" s="12">
        <f t="shared" si="1"/>
        <v>26.53044839721294</v>
      </c>
      <c r="G63" s="13">
        <v>0</v>
      </c>
      <c r="H63" s="13">
        <v>5</v>
      </c>
      <c r="I63" s="13">
        <v>4</v>
      </c>
      <c r="J63" s="13">
        <v>6</v>
      </c>
      <c r="K63" s="13"/>
      <c r="L63" s="13"/>
      <c r="M63" s="13">
        <v>8</v>
      </c>
      <c r="N63" s="5">
        <f t="shared" si="3"/>
        <v>23</v>
      </c>
    </row>
    <row r="64" spans="1:14" x14ac:dyDescent="0.25">
      <c r="A64" s="1">
        <v>45932</v>
      </c>
      <c r="B64" s="10">
        <v>36348</v>
      </c>
      <c r="C64" s="11">
        <v>1.6310884166181223</v>
      </c>
      <c r="D64" s="11">
        <v>8.6740496950280979E-2</v>
      </c>
      <c r="E64" s="12">
        <f t="shared" si="0"/>
        <v>592.86801767235511</v>
      </c>
      <c r="F64" s="12">
        <f t="shared" si="1"/>
        <v>31.528435831488132</v>
      </c>
      <c r="G64" s="13">
        <v>1</v>
      </c>
      <c r="H64" s="13">
        <v>5</v>
      </c>
      <c r="I64" s="13">
        <v>4</v>
      </c>
      <c r="J64" s="13">
        <v>7</v>
      </c>
      <c r="K64" s="13"/>
      <c r="L64" s="13"/>
      <c r="M64" s="13">
        <v>8</v>
      </c>
      <c r="N64" s="5">
        <f t="shared" si="3"/>
        <v>25</v>
      </c>
    </row>
    <row r="65" spans="1:14" x14ac:dyDescent="0.25">
      <c r="A65" s="1">
        <v>45933</v>
      </c>
      <c r="B65" s="10">
        <v>18634</v>
      </c>
      <c r="C65" s="11">
        <v>1.6310884166181223</v>
      </c>
      <c r="D65" s="11">
        <v>8.6740496950280979E-2</v>
      </c>
      <c r="E65" s="12">
        <f t="shared" si="0"/>
        <v>303.93701555262089</v>
      </c>
      <c r="F65" s="12">
        <f t="shared" si="1"/>
        <v>16.163224201715355</v>
      </c>
      <c r="G65" s="13">
        <v>0</v>
      </c>
      <c r="H65" s="13">
        <v>5</v>
      </c>
      <c r="I65" s="13">
        <v>4</v>
      </c>
      <c r="J65" s="13">
        <v>7</v>
      </c>
      <c r="K65" s="13"/>
      <c r="L65" s="13"/>
      <c r="M65" s="13">
        <v>8</v>
      </c>
      <c r="N65" s="5">
        <f t="shared" si="3"/>
        <v>24</v>
      </c>
    </row>
    <row r="66" spans="1:14" x14ac:dyDescent="0.25">
      <c r="A66" s="1">
        <v>45934</v>
      </c>
      <c r="B66" s="10">
        <v>451</v>
      </c>
      <c r="C66" s="11">
        <v>1.6310884166181223</v>
      </c>
      <c r="D66" s="11">
        <v>8.6740496950280979E-2</v>
      </c>
      <c r="E66" s="12">
        <f t="shared" ref="E66:E120" si="4">+C66*B66/100</f>
        <v>7.356208758947731</v>
      </c>
      <c r="F66" s="12">
        <f t="shared" ref="F66:F120" si="5">+D66*B66/100</f>
        <v>0.39119964124576717</v>
      </c>
      <c r="G66" s="13">
        <v>1</v>
      </c>
      <c r="H66" s="13"/>
      <c r="I66" s="13"/>
      <c r="J66" s="13"/>
      <c r="K66" s="13"/>
      <c r="L66" s="13"/>
      <c r="M66" s="13"/>
      <c r="N66" s="5">
        <f t="shared" si="3"/>
        <v>1</v>
      </c>
    </row>
    <row r="67" spans="1:14" x14ac:dyDescent="0.25">
      <c r="A67" s="1">
        <v>45935</v>
      </c>
      <c r="B67" s="10">
        <v>0</v>
      </c>
      <c r="C67" s="11">
        <v>0</v>
      </c>
      <c r="D67" s="11">
        <v>0</v>
      </c>
      <c r="E67" s="12">
        <f t="shared" si="4"/>
        <v>0</v>
      </c>
      <c r="F67" s="12">
        <f t="shared" si="5"/>
        <v>0</v>
      </c>
      <c r="G67" s="13">
        <v>0</v>
      </c>
      <c r="H67" s="13">
        <v>0</v>
      </c>
      <c r="I67" s="13">
        <v>0</v>
      </c>
      <c r="J67" s="13">
        <v>0</v>
      </c>
      <c r="K67" s="13"/>
      <c r="L67" s="13"/>
      <c r="M67" s="13">
        <v>0</v>
      </c>
      <c r="N67" s="5">
        <f t="shared" si="3"/>
        <v>0</v>
      </c>
    </row>
    <row r="68" spans="1:14" x14ac:dyDescent="0.25">
      <c r="A68" s="1">
        <v>45936</v>
      </c>
      <c r="B68" s="10">
        <v>0</v>
      </c>
      <c r="C68" s="11">
        <v>0</v>
      </c>
      <c r="D68" s="11">
        <v>0</v>
      </c>
      <c r="E68" s="12">
        <f t="shared" si="4"/>
        <v>0</v>
      </c>
      <c r="F68" s="12">
        <f t="shared" si="5"/>
        <v>0</v>
      </c>
      <c r="G68" s="13">
        <v>0</v>
      </c>
      <c r="H68" s="13">
        <v>0</v>
      </c>
      <c r="I68" s="13">
        <v>0</v>
      </c>
      <c r="J68" s="13">
        <v>0</v>
      </c>
      <c r="K68" s="13"/>
      <c r="L68" s="13"/>
      <c r="M68" s="13">
        <v>0</v>
      </c>
      <c r="N68" s="5">
        <f t="shared" si="3"/>
        <v>0</v>
      </c>
    </row>
    <row r="69" spans="1:14" x14ac:dyDescent="0.25">
      <c r="A69" s="1">
        <v>45937</v>
      </c>
      <c r="B69" s="10">
        <v>165</v>
      </c>
      <c r="C69" s="11">
        <v>1.63</v>
      </c>
      <c r="D69" s="11">
        <v>0.09</v>
      </c>
      <c r="E69" s="12">
        <f t="shared" si="4"/>
        <v>2.6894999999999998</v>
      </c>
      <c r="F69" s="12">
        <f t="shared" si="5"/>
        <v>0.14849999999999999</v>
      </c>
      <c r="G69" s="13">
        <v>1</v>
      </c>
      <c r="H69" s="13">
        <v>0</v>
      </c>
      <c r="I69" s="13">
        <v>0</v>
      </c>
      <c r="J69" s="13">
        <v>0</v>
      </c>
      <c r="K69" s="13"/>
      <c r="L69" s="13"/>
      <c r="M69" s="13">
        <v>0</v>
      </c>
      <c r="N69" s="5">
        <f t="shared" si="3"/>
        <v>1</v>
      </c>
    </row>
    <row r="70" spans="1:14" x14ac:dyDescent="0.25">
      <c r="A70" s="1">
        <v>45938</v>
      </c>
      <c r="B70" s="10">
        <v>0</v>
      </c>
      <c r="C70" s="11">
        <v>0</v>
      </c>
      <c r="D70" s="11">
        <v>0</v>
      </c>
      <c r="E70" s="12">
        <f t="shared" si="4"/>
        <v>0</v>
      </c>
      <c r="F70" s="12">
        <f t="shared" si="5"/>
        <v>0</v>
      </c>
      <c r="G70" s="13">
        <v>0</v>
      </c>
      <c r="H70" s="13">
        <v>0</v>
      </c>
      <c r="I70" s="13">
        <v>0</v>
      </c>
      <c r="J70" s="13">
        <v>0</v>
      </c>
      <c r="K70" s="13"/>
      <c r="L70" s="13"/>
      <c r="M70" s="13">
        <v>0</v>
      </c>
      <c r="N70" s="5">
        <f t="shared" si="3"/>
        <v>0</v>
      </c>
    </row>
    <row r="71" spans="1:14" x14ac:dyDescent="0.25">
      <c r="A71" s="1">
        <v>45939</v>
      </c>
      <c r="B71" s="10">
        <v>0</v>
      </c>
      <c r="C71" s="11">
        <v>0</v>
      </c>
      <c r="D71" s="11">
        <v>0</v>
      </c>
      <c r="E71" s="12">
        <f t="shared" si="4"/>
        <v>0</v>
      </c>
      <c r="F71" s="12">
        <f t="shared" si="5"/>
        <v>0</v>
      </c>
      <c r="G71" s="13">
        <v>0</v>
      </c>
      <c r="H71" s="13">
        <v>0</v>
      </c>
      <c r="I71" s="13">
        <v>0</v>
      </c>
      <c r="J71" s="13">
        <v>0</v>
      </c>
      <c r="K71" s="13"/>
      <c r="L71" s="13"/>
      <c r="M71" s="13">
        <v>0</v>
      </c>
      <c r="N71" s="5">
        <f t="shared" ref="N71:N119" si="6">+SUM(G71:M71)</f>
        <v>0</v>
      </c>
    </row>
    <row r="72" spans="1:14" x14ac:dyDescent="0.25">
      <c r="A72" s="1">
        <v>45940</v>
      </c>
      <c r="B72" s="10">
        <v>0</v>
      </c>
      <c r="C72" s="11">
        <v>0</v>
      </c>
      <c r="D72" s="11">
        <v>0</v>
      </c>
      <c r="E72" s="12">
        <f t="shared" si="4"/>
        <v>0</v>
      </c>
      <c r="F72" s="12">
        <f t="shared" si="5"/>
        <v>0</v>
      </c>
      <c r="G72" s="13">
        <v>0</v>
      </c>
      <c r="H72" s="13">
        <v>0</v>
      </c>
      <c r="I72" s="13">
        <v>0</v>
      </c>
      <c r="J72" s="13">
        <v>0</v>
      </c>
      <c r="K72" s="13"/>
      <c r="L72" s="13"/>
      <c r="M72" s="13">
        <v>0</v>
      </c>
      <c r="N72" s="5">
        <f t="shared" si="6"/>
        <v>0</v>
      </c>
    </row>
    <row r="73" spans="1:14" x14ac:dyDescent="0.25">
      <c r="A73" s="1">
        <v>45941</v>
      </c>
      <c r="B73" s="10">
        <v>0</v>
      </c>
      <c r="C73" s="11">
        <v>0</v>
      </c>
      <c r="D73" s="11">
        <v>0</v>
      </c>
      <c r="E73" s="12">
        <f t="shared" si="4"/>
        <v>0</v>
      </c>
      <c r="F73" s="12">
        <f t="shared" si="5"/>
        <v>0</v>
      </c>
      <c r="G73" s="13">
        <v>0</v>
      </c>
      <c r="H73" s="13">
        <v>0</v>
      </c>
      <c r="I73" s="13">
        <v>0</v>
      </c>
      <c r="J73" s="13">
        <v>0</v>
      </c>
      <c r="K73" s="13"/>
      <c r="L73" s="13"/>
      <c r="M73" s="13">
        <v>0</v>
      </c>
      <c r="N73" s="5">
        <f t="shared" si="6"/>
        <v>0</v>
      </c>
    </row>
    <row r="74" spans="1:14" x14ac:dyDescent="0.25">
      <c r="A74" s="1">
        <v>45942</v>
      </c>
      <c r="B74" s="10">
        <v>0</v>
      </c>
      <c r="C74" s="11">
        <v>0</v>
      </c>
      <c r="D74" s="11">
        <v>0</v>
      </c>
      <c r="E74" s="12">
        <f t="shared" si="4"/>
        <v>0</v>
      </c>
      <c r="F74" s="12">
        <f t="shared" si="5"/>
        <v>0</v>
      </c>
      <c r="G74" s="13">
        <v>0</v>
      </c>
      <c r="H74" s="13">
        <v>0</v>
      </c>
      <c r="I74" s="13">
        <v>0</v>
      </c>
      <c r="J74" s="13">
        <v>0</v>
      </c>
      <c r="K74" s="13"/>
      <c r="L74" s="13"/>
      <c r="M74" s="13">
        <v>0</v>
      </c>
      <c r="N74" s="5">
        <f t="shared" si="6"/>
        <v>0</v>
      </c>
    </row>
    <row r="75" spans="1:14" x14ac:dyDescent="0.25">
      <c r="A75" s="1">
        <v>45943</v>
      </c>
      <c r="B75" s="10">
        <v>0</v>
      </c>
      <c r="C75" s="11">
        <v>0</v>
      </c>
      <c r="D75" s="11">
        <v>0</v>
      </c>
      <c r="E75" s="12">
        <f t="shared" si="4"/>
        <v>0</v>
      </c>
      <c r="F75" s="12">
        <f t="shared" si="5"/>
        <v>0</v>
      </c>
      <c r="G75" s="13">
        <v>0</v>
      </c>
      <c r="H75" s="13">
        <v>0</v>
      </c>
      <c r="I75" s="13">
        <v>0</v>
      </c>
      <c r="J75" s="13">
        <v>0</v>
      </c>
      <c r="K75" s="13"/>
      <c r="L75" s="13"/>
      <c r="M75" s="13">
        <v>0</v>
      </c>
      <c r="N75" s="5">
        <f t="shared" si="6"/>
        <v>0</v>
      </c>
    </row>
    <row r="76" spans="1:14" x14ac:dyDescent="0.25">
      <c r="A76" s="1">
        <v>45944</v>
      </c>
      <c r="B76" s="10">
        <v>0</v>
      </c>
      <c r="C76" s="11">
        <v>0</v>
      </c>
      <c r="D76" s="11">
        <v>0</v>
      </c>
      <c r="E76" s="12">
        <f t="shared" si="4"/>
        <v>0</v>
      </c>
      <c r="F76" s="12">
        <f t="shared" si="5"/>
        <v>0</v>
      </c>
      <c r="G76" s="13">
        <v>0</v>
      </c>
      <c r="H76" s="13">
        <v>0</v>
      </c>
      <c r="I76" s="13">
        <v>0</v>
      </c>
      <c r="J76" s="13">
        <v>0</v>
      </c>
      <c r="K76" s="13"/>
      <c r="L76" s="13"/>
      <c r="M76" s="13">
        <v>0</v>
      </c>
      <c r="N76" s="5">
        <f t="shared" si="6"/>
        <v>0</v>
      </c>
    </row>
    <row r="77" spans="1:14" x14ac:dyDescent="0.25">
      <c r="A77" s="1">
        <v>45945</v>
      </c>
      <c r="B77" s="10">
        <v>0</v>
      </c>
      <c r="C77" s="11">
        <v>0</v>
      </c>
      <c r="D77" s="11">
        <v>0</v>
      </c>
      <c r="E77" s="12">
        <f t="shared" si="4"/>
        <v>0</v>
      </c>
      <c r="F77" s="12">
        <f t="shared" si="5"/>
        <v>0</v>
      </c>
      <c r="G77" s="13">
        <v>0</v>
      </c>
      <c r="H77" s="13">
        <v>0</v>
      </c>
      <c r="I77" s="13">
        <v>0</v>
      </c>
      <c r="J77" s="13">
        <v>0</v>
      </c>
      <c r="K77" s="13"/>
      <c r="L77" s="13"/>
      <c r="M77" s="13">
        <v>0</v>
      </c>
      <c r="N77" s="5">
        <f t="shared" si="6"/>
        <v>0</v>
      </c>
    </row>
    <row r="78" spans="1:14" x14ac:dyDescent="0.25">
      <c r="A78" s="1">
        <v>45946</v>
      </c>
      <c r="B78" s="10">
        <v>0</v>
      </c>
      <c r="C78" s="11">
        <v>0</v>
      </c>
      <c r="D78" s="11">
        <v>0</v>
      </c>
      <c r="E78" s="12">
        <f t="shared" si="4"/>
        <v>0</v>
      </c>
      <c r="F78" s="12">
        <f t="shared" si="5"/>
        <v>0</v>
      </c>
      <c r="G78" s="13">
        <v>0</v>
      </c>
      <c r="H78" s="13">
        <v>0</v>
      </c>
      <c r="I78" s="13">
        <v>0</v>
      </c>
      <c r="J78" s="13">
        <v>0</v>
      </c>
      <c r="K78" s="13"/>
      <c r="L78" s="13"/>
      <c r="M78" s="13">
        <v>0</v>
      </c>
      <c r="N78" s="5">
        <f t="shared" si="6"/>
        <v>0</v>
      </c>
    </row>
    <row r="79" spans="1:14" x14ac:dyDescent="0.25">
      <c r="A79" s="1">
        <v>45947</v>
      </c>
      <c r="B79" s="10">
        <v>0</v>
      </c>
      <c r="C79" s="11">
        <v>0</v>
      </c>
      <c r="D79" s="11">
        <v>0</v>
      </c>
      <c r="E79" s="12">
        <f t="shared" si="4"/>
        <v>0</v>
      </c>
      <c r="F79" s="12">
        <f t="shared" si="5"/>
        <v>0</v>
      </c>
      <c r="G79" s="13">
        <v>0</v>
      </c>
      <c r="H79" s="13">
        <v>0</v>
      </c>
      <c r="I79" s="13">
        <v>0</v>
      </c>
      <c r="J79" s="13">
        <v>0</v>
      </c>
      <c r="K79" s="13"/>
      <c r="L79" s="13"/>
      <c r="M79" s="13">
        <v>0</v>
      </c>
      <c r="N79" s="5">
        <f t="shared" si="6"/>
        <v>0</v>
      </c>
    </row>
    <row r="80" spans="1:14" x14ac:dyDescent="0.25">
      <c r="A80" s="1">
        <v>45948</v>
      </c>
      <c r="B80" s="14">
        <v>0</v>
      </c>
      <c r="C80" s="15">
        <v>0</v>
      </c>
      <c r="D80" s="15">
        <v>0</v>
      </c>
      <c r="E80" s="16">
        <f t="shared" si="4"/>
        <v>0</v>
      </c>
      <c r="F80" s="16">
        <f t="shared" si="5"/>
        <v>0</v>
      </c>
      <c r="G80" s="17">
        <v>0</v>
      </c>
      <c r="H80" s="17">
        <v>0</v>
      </c>
      <c r="I80" s="17">
        <v>0</v>
      </c>
      <c r="J80" s="17">
        <v>0</v>
      </c>
      <c r="K80" s="17"/>
      <c r="L80" s="17"/>
      <c r="M80" s="17">
        <v>0</v>
      </c>
      <c r="N80" s="18">
        <f t="shared" si="6"/>
        <v>0</v>
      </c>
    </row>
    <row r="81" spans="1:14" x14ac:dyDescent="0.25">
      <c r="A81" s="1">
        <v>45949</v>
      </c>
      <c r="B81" s="2">
        <v>0</v>
      </c>
      <c r="C81" s="3">
        <v>0</v>
      </c>
      <c r="D81" s="3">
        <v>0</v>
      </c>
      <c r="E81" s="4">
        <f t="shared" si="4"/>
        <v>0</v>
      </c>
      <c r="F81" s="4">
        <f t="shared" si="5"/>
        <v>0</v>
      </c>
      <c r="G81" s="5">
        <v>0</v>
      </c>
      <c r="H81" s="5">
        <v>0</v>
      </c>
      <c r="I81" s="5">
        <v>0</v>
      </c>
      <c r="J81" s="5">
        <v>0</v>
      </c>
      <c r="K81" s="5"/>
      <c r="L81" s="5"/>
      <c r="M81" s="5">
        <v>0</v>
      </c>
      <c r="N81" s="5">
        <f t="shared" si="6"/>
        <v>0</v>
      </c>
    </row>
    <row r="82" spans="1:14" x14ac:dyDescent="0.25">
      <c r="A82" s="1">
        <v>45950</v>
      </c>
      <c r="B82" s="2">
        <v>0</v>
      </c>
      <c r="C82" s="3">
        <v>0</v>
      </c>
      <c r="D82" s="3">
        <v>0</v>
      </c>
      <c r="E82" s="4">
        <f>+C82*B82/100</f>
        <v>0</v>
      </c>
      <c r="F82" s="4">
        <f>+D82*B82/100</f>
        <v>0</v>
      </c>
      <c r="G82" s="5">
        <v>0</v>
      </c>
      <c r="H82" s="5">
        <v>0</v>
      </c>
      <c r="I82" s="5">
        <v>0</v>
      </c>
      <c r="J82" s="5">
        <v>0</v>
      </c>
      <c r="K82" s="5"/>
      <c r="L82" s="5"/>
      <c r="M82" s="5">
        <v>0</v>
      </c>
      <c r="N82" s="5">
        <f>+SUM(G82:M82)</f>
        <v>0</v>
      </c>
    </row>
    <row r="83" spans="1:14" x14ac:dyDescent="0.25">
      <c r="A83" s="1">
        <v>45951</v>
      </c>
      <c r="B83" s="2">
        <v>0</v>
      </c>
      <c r="C83" s="3">
        <v>0</v>
      </c>
      <c r="D83" s="3">
        <v>0</v>
      </c>
      <c r="E83" s="4">
        <f t="shared" si="4"/>
        <v>0</v>
      </c>
      <c r="F83" s="4">
        <f t="shared" si="5"/>
        <v>0</v>
      </c>
      <c r="G83" s="5">
        <v>0</v>
      </c>
      <c r="H83" s="5">
        <v>0</v>
      </c>
      <c r="I83" s="5">
        <v>0</v>
      </c>
      <c r="J83" s="5">
        <v>0</v>
      </c>
      <c r="K83" s="5"/>
      <c r="L83" s="5"/>
      <c r="M83" s="5">
        <v>0</v>
      </c>
      <c r="N83" s="5">
        <f t="shared" si="6"/>
        <v>0</v>
      </c>
    </row>
    <row r="84" spans="1:14" x14ac:dyDescent="0.25">
      <c r="A84" s="1">
        <v>45952</v>
      </c>
      <c r="B84" s="2">
        <v>0</v>
      </c>
      <c r="C84" s="3">
        <v>0</v>
      </c>
      <c r="D84" s="3">
        <v>0</v>
      </c>
      <c r="E84" s="4">
        <f t="shared" si="4"/>
        <v>0</v>
      </c>
      <c r="F84" s="4">
        <f t="shared" si="5"/>
        <v>0</v>
      </c>
      <c r="G84" s="5">
        <v>0</v>
      </c>
      <c r="H84" s="5">
        <v>0</v>
      </c>
      <c r="I84" s="5">
        <v>0</v>
      </c>
      <c r="J84" s="5">
        <v>0</v>
      </c>
      <c r="K84" s="5"/>
      <c r="L84" s="5"/>
      <c r="M84" s="5">
        <v>0</v>
      </c>
      <c r="N84" s="5">
        <f t="shared" si="6"/>
        <v>0</v>
      </c>
    </row>
    <row r="85" spans="1:14" x14ac:dyDescent="0.25">
      <c r="A85" s="1">
        <v>45953</v>
      </c>
      <c r="B85" s="10">
        <v>0</v>
      </c>
      <c r="C85" s="11">
        <v>0</v>
      </c>
      <c r="D85" s="11">
        <v>0</v>
      </c>
      <c r="E85" s="12">
        <f t="shared" si="4"/>
        <v>0</v>
      </c>
      <c r="F85" s="12">
        <f t="shared" si="5"/>
        <v>0</v>
      </c>
      <c r="G85" s="13">
        <v>0</v>
      </c>
      <c r="H85" s="13">
        <v>0</v>
      </c>
      <c r="I85" s="13">
        <v>0</v>
      </c>
      <c r="J85" s="13">
        <v>0</v>
      </c>
      <c r="K85" s="13"/>
      <c r="L85" s="13"/>
      <c r="M85" s="13">
        <v>0</v>
      </c>
      <c r="N85" s="13">
        <f t="shared" si="6"/>
        <v>0</v>
      </c>
    </row>
    <row r="86" spans="1:14" x14ac:dyDescent="0.25">
      <c r="A86" s="1">
        <v>45954</v>
      </c>
      <c r="B86" s="10">
        <v>0</v>
      </c>
      <c r="C86" s="11">
        <v>0</v>
      </c>
      <c r="D86" s="11">
        <v>0</v>
      </c>
      <c r="E86" s="12">
        <f t="shared" si="4"/>
        <v>0</v>
      </c>
      <c r="F86" s="12">
        <f t="shared" si="5"/>
        <v>0</v>
      </c>
      <c r="G86" s="13">
        <v>0</v>
      </c>
      <c r="H86" s="13">
        <v>0</v>
      </c>
      <c r="I86" s="13">
        <v>0</v>
      </c>
      <c r="J86" s="13">
        <v>0</v>
      </c>
      <c r="K86" s="13"/>
      <c r="L86" s="13"/>
      <c r="M86" s="13">
        <v>0</v>
      </c>
      <c r="N86" s="13">
        <f t="shared" si="6"/>
        <v>0</v>
      </c>
    </row>
    <row r="87" spans="1:14" x14ac:dyDescent="0.25">
      <c r="A87" s="1">
        <v>45955</v>
      </c>
      <c r="B87" s="10">
        <v>0</v>
      </c>
      <c r="C87" s="11">
        <v>0</v>
      </c>
      <c r="D87" s="11">
        <v>0</v>
      </c>
      <c r="E87" s="12">
        <f t="shared" si="4"/>
        <v>0</v>
      </c>
      <c r="F87" s="12">
        <f t="shared" si="5"/>
        <v>0</v>
      </c>
      <c r="G87" s="13">
        <v>0</v>
      </c>
      <c r="H87" s="13">
        <v>0</v>
      </c>
      <c r="I87" s="13">
        <v>0</v>
      </c>
      <c r="J87" s="13">
        <v>0</v>
      </c>
      <c r="K87" s="13"/>
      <c r="L87" s="13"/>
      <c r="M87" s="13">
        <v>0</v>
      </c>
      <c r="N87" s="13">
        <f t="shared" si="6"/>
        <v>0</v>
      </c>
    </row>
    <row r="88" spans="1:14" x14ac:dyDescent="0.25">
      <c r="A88" s="1">
        <v>45956</v>
      </c>
      <c r="B88" s="10">
        <v>0</v>
      </c>
      <c r="C88" s="11">
        <v>0</v>
      </c>
      <c r="D88" s="11">
        <v>0</v>
      </c>
      <c r="E88" s="12">
        <f t="shared" si="4"/>
        <v>0</v>
      </c>
      <c r="F88" s="12">
        <f t="shared" si="5"/>
        <v>0</v>
      </c>
      <c r="G88" s="13">
        <v>0</v>
      </c>
      <c r="H88" s="13">
        <v>0</v>
      </c>
      <c r="I88" s="13">
        <v>0</v>
      </c>
      <c r="J88" s="13">
        <v>0</v>
      </c>
      <c r="K88" s="13"/>
      <c r="L88" s="13"/>
      <c r="M88" s="13">
        <v>0</v>
      </c>
      <c r="N88" s="13">
        <f t="shared" si="6"/>
        <v>0</v>
      </c>
    </row>
    <row r="89" spans="1:14" x14ac:dyDescent="0.25">
      <c r="A89" s="1">
        <v>45957</v>
      </c>
      <c r="B89" s="10">
        <v>537</v>
      </c>
      <c r="C89" s="11">
        <v>1.56</v>
      </c>
      <c r="D89" s="11">
        <v>0.08</v>
      </c>
      <c r="E89" s="12">
        <f t="shared" si="4"/>
        <v>8.3772000000000002</v>
      </c>
      <c r="F89" s="12">
        <f t="shared" si="5"/>
        <v>0.42959999999999998</v>
      </c>
      <c r="G89" s="13">
        <v>1</v>
      </c>
      <c r="H89" s="13">
        <v>0</v>
      </c>
      <c r="I89" s="13">
        <v>0</v>
      </c>
      <c r="J89" s="13">
        <v>0</v>
      </c>
      <c r="K89" s="13"/>
      <c r="L89" s="13"/>
      <c r="M89" s="13">
        <v>0</v>
      </c>
      <c r="N89" s="13">
        <f t="shared" si="6"/>
        <v>1</v>
      </c>
    </row>
    <row r="90" spans="1:14" x14ac:dyDescent="0.25">
      <c r="A90" s="1">
        <v>45958</v>
      </c>
      <c r="B90" s="10">
        <v>0</v>
      </c>
      <c r="C90" s="11">
        <v>0</v>
      </c>
      <c r="D90" s="11">
        <v>0</v>
      </c>
      <c r="E90" s="12">
        <f t="shared" si="4"/>
        <v>0</v>
      </c>
      <c r="F90" s="12">
        <f t="shared" si="5"/>
        <v>0</v>
      </c>
      <c r="G90" s="13">
        <v>0</v>
      </c>
      <c r="H90" s="13">
        <v>0</v>
      </c>
      <c r="I90" s="13">
        <v>0</v>
      </c>
      <c r="J90" s="13">
        <v>0</v>
      </c>
      <c r="K90" s="13"/>
      <c r="L90" s="13"/>
      <c r="M90" s="13">
        <v>0</v>
      </c>
      <c r="N90" s="13">
        <f t="shared" si="6"/>
        <v>0</v>
      </c>
    </row>
    <row r="91" spans="1:14" x14ac:dyDescent="0.25">
      <c r="A91" s="1">
        <v>45959</v>
      </c>
      <c r="B91" s="19">
        <v>0</v>
      </c>
      <c r="C91" s="20">
        <v>0</v>
      </c>
      <c r="D91" s="20">
        <v>0</v>
      </c>
      <c r="E91" s="21">
        <f t="shared" si="4"/>
        <v>0</v>
      </c>
      <c r="F91" s="21">
        <f t="shared" si="5"/>
        <v>0</v>
      </c>
      <c r="G91" s="22">
        <v>0</v>
      </c>
      <c r="H91" s="22">
        <v>0</v>
      </c>
      <c r="I91" s="22">
        <v>0</v>
      </c>
      <c r="J91" s="22">
        <v>0</v>
      </c>
      <c r="K91" s="22"/>
      <c r="L91" s="22"/>
      <c r="M91" s="22">
        <v>0</v>
      </c>
      <c r="N91" s="22">
        <f t="shared" si="6"/>
        <v>0</v>
      </c>
    </row>
    <row r="92" spans="1:14" x14ac:dyDescent="0.25">
      <c r="A92" s="1">
        <v>45960</v>
      </c>
      <c r="B92" s="10">
        <v>0</v>
      </c>
      <c r="C92" s="11">
        <v>0</v>
      </c>
      <c r="D92" s="11">
        <v>0</v>
      </c>
      <c r="E92" s="12">
        <f t="shared" si="4"/>
        <v>0</v>
      </c>
      <c r="F92" s="12">
        <f t="shared" si="5"/>
        <v>0</v>
      </c>
      <c r="G92" s="13">
        <v>0</v>
      </c>
      <c r="H92" s="13">
        <v>0</v>
      </c>
      <c r="I92" s="13">
        <v>0</v>
      </c>
      <c r="J92" s="13">
        <v>0</v>
      </c>
      <c r="K92" s="13"/>
      <c r="L92" s="13"/>
      <c r="M92" s="13">
        <v>0</v>
      </c>
      <c r="N92" s="13">
        <f t="shared" si="6"/>
        <v>0</v>
      </c>
    </row>
    <row r="93" spans="1:14" x14ac:dyDescent="0.25">
      <c r="A93" s="1">
        <v>45961</v>
      </c>
      <c r="B93" s="10">
        <v>0</v>
      </c>
      <c r="C93" s="11">
        <v>0</v>
      </c>
      <c r="D93" s="11">
        <v>0</v>
      </c>
      <c r="E93" s="12">
        <f t="shared" si="4"/>
        <v>0</v>
      </c>
      <c r="F93" s="12">
        <f t="shared" si="5"/>
        <v>0</v>
      </c>
      <c r="G93" s="13">
        <v>0</v>
      </c>
      <c r="H93" s="13">
        <v>0</v>
      </c>
      <c r="I93" s="13">
        <v>0</v>
      </c>
      <c r="J93" s="13">
        <v>0</v>
      </c>
      <c r="K93" s="13"/>
      <c r="L93" s="13"/>
      <c r="M93" s="13">
        <v>0</v>
      </c>
      <c r="N93" s="13">
        <f t="shared" si="6"/>
        <v>0</v>
      </c>
    </row>
    <row r="94" spans="1:14" x14ac:dyDescent="0.25">
      <c r="A94" s="1">
        <v>45962</v>
      </c>
      <c r="B94" s="10">
        <v>0</v>
      </c>
      <c r="C94" s="11">
        <v>0</v>
      </c>
      <c r="D94" s="11">
        <v>0</v>
      </c>
      <c r="E94" s="12">
        <f t="shared" si="4"/>
        <v>0</v>
      </c>
      <c r="F94" s="12">
        <f t="shared" si="5"/>
        <v>0</v>
      </c>
      <c r="G94" s="13">
        <v>0</v>
      </c>
      <c r="H94" s="13">
        <v>0</v>
      </c>
      <c r="I94" s="13">
        <v>0</v>
      </c>
      <c r="J94" s="13">
        <v>0</v>
      </c>
      <c r="K94" s="13"/>
      <c r="L94" s="13"/>
      <c r="M94" s="13">
        <v>0</v>
      </c>
      <c r="N94" s="13">
        <f t="shared" si="6"/>
        <v>0</v>
      </c>
    </row>
    <row r="95" spans="1:14" x14ac:dyDescent="0.25">
      <c r="A95" s="1">
        <v>45963</v>
      </c>
      <c r="B95" s="10">
        <v>0</v>
      </c>
      <c r="C95" s="11">
        <v>0</v>
      </c>
      <c r="D95" s="11">
        <v>0</v>
      </c>
      <c r="E95" s="12">
        <f t="shared" si="4"/>
        <v>0</v>
      </c>
      <c r="F95" s="12">
        <f t="shared" si="5"/>
        <v>0</v>
      </c>
      <c r="G95" s="13">
        <v>0</v>
      </c>
      <c r="H95" s="13">
        <v>0</v>
      </c>
      <c r="I95" s="13">
        <v>0</v>
      </c>
      <c r="J95" s="13">
        <v>0</v>
      </c>
      <c r="K95" s="13"/>
      <c r="L95" s="13"/>
      <c r="M95" s="13">
        <v>0</v>
      </c>
      <c r="N95" s="13">
        <f t="shared" si="6"/>
        <v>0</v>
      </c>
    </row>
    <row r="96" spans="1:14" x14ac:dyDescent="0.25">
      <c r="A96" s="1">
        <v>45964</v>
      </c>
      <c r="B96" s="10">
        <v>0</v>
      </c>
      <c r="C96" s="11">
        <v>0</v>
      </c>
      <c r="D96" s="11">
        <v>0</v>
      </c>
      <c r="E96" s="12">
        <f t="shared" si="4"/>
        <v>0</v>
      </c>
      <c r="F96" s="12">
        <f t="shared" si="5"/>
        <v>0</v>
      </c>
      <c r="G96" s="13">
        <v>0</v>
      </c>
      <c r="H96" s="13">
        <v>0</v>
      </c>
      <c r="I96" s="13">
        <v>0</v>
      </c>
      <c r="J96" s="13">
        <v>0</v>
      </c>
      <c r="K96" s="13"/>
      <c r="L96" s="13"/>
      <c r="M96" s="13">
        <v>0</v>
      </c>
      <c r="N96" s="13">
        <f t="shared" si="6"/>
        <v>0</v>
      </c>
    </row>
    <row r="97" spans="1:14" x14ac:dyDescent="0.25">
      <c r="A97" s="1">
        <v>45965</v>
      </c>
      <c r="B97" s="10">
        <v>0</v>
      </c>
      <c r="C97" s="11">
        <v>0</v>
      </c>
      <c r="D97" s="11">
        <v>0</v>
      </c>
      <c r="E97" s="12">
        <f t="shared" si="4"/>
        <v>0</v>
      </c>
      <c r="F97" s="12">
        <f t="shared" si="5"/>
        <v>0</v>
      </c>
      <c r="G97" s="13">
        <v>0</v>
      </c>
      <c r="H97" s="13">
        <v>0</v>
      </c>
      <c r="I97" s="13">
        <v>0</v>
      </c>
      <c r="J97" s="13">
        <v>0</v>
      </c>
      <c r="K97" s="13"/>
      <c r="L97" s="13"/>
      <c r="M97" s="13">
        <v>0</v>
      </c>
      <c r="N97" s="13">
        <f t="shared" si="6"/>
        <v>0</v>
      </c>
    </row>
    <row r="98" spans="1:14" x14ac:dyDescent="0.25">
      <c r="A98" s="1">
        <v>45966</v>
      </c>
      <c r="B98" s="10">
        <v>0</v>
      </c>
      <c r="C98" s="11">
        <v>0</v>
      </c>
      <c r="D98" s="11">
        <v>0</v>
      </c>
      <c r="E98" s="12">
        <f t="shared" si="4"/>
        <v>0</v>
      </c>
      <c r="F98" s="12">
        <f t="shared" si="5"/>
        <v>0</v>
      </c>
      <c r="G98" s="13">
        <v>0</v>
      </c>
      <c r="H98" s="13">
        <v>0</v>
      </c>
      <c r="I98" s="13">
        <v>0</v>
      </c>
      <c r="J98" s="13">
        <v>0</v>
      </c>
      <c r="K98" s="13"/>
      <c r="L98" s="13"/>
      <c r="M98" s="13">
        <v>0</v>
      </c>
      <c r="N98" s="13">
        <f t="shared" si="6"/>
        <v>0</v>
      </c>
    </row>
    <row r="99" spans="1:14" x14ac:dyDescent="0.25">
      <c r="A99" s="1">
        <v>45967</v>
      </c>
      <c r="B99" s="14">
        <v>1506</v>
      </c>
      <c r="C99" s="15">
        <v>1.38</v>
      </c>
      <c r="D99" s="15">
        <v>0.09</v>
      </c>
      <c r="E99" s="16">
        <f t="shared" si="4"/>
        <v>20.782799999999998</v>
      </c>
      <c r="F99" s="16">
        <f t="shared" si="5"/>
        <v>1.3553999999999999</v>
      </c>
      <c r="G99" s="17">
        <v>1</v>
      </c>
      <c r="H99" s="17">
        <v>0</v>
      </c>
      <c r="I99" s="17">
        <v>0</v>
      </c>
      <c r="J99" s="17">
        <v>0</v>
      </c>
      <c r="K99" s="17"/>
      <c r="L99" s="17"/>
      <c r="M99" s="17">
        <v>0</v>
      </c>
      <c r="N99" s="17">
        <f t="shared" si="6"/>
        <v>1</v>
      </c>
    </row>
    <row r="100" spans="1:14" x14ac:dyDescent="0.25">
      <c r="A100" s="1">
        <v>45968</v>
      </c>
      <c r="B100" s="2">
        <v>851.15531907574473</v>
      </c>
      <c r="C100" s="3">
        <v>1.38</v>
      </c>
      <c r="D100" s="3">
        <v>0.24</v>
      </c>
      <c r="E100" s="4">
        <f t="shared" si="4"/>
        <v>11.745943403245276</v>
      </c>
      <c r="F100" s="4">
        <f t="shared" si="5"/>
        <v>2.0427727657817871</v>
      </c>
      <c r="G100" s="5">
        <v>1</v>
      </c>
      <c r="H100" s="5">
        <v>0</v>
      </c>
      <c r="I100" s="5">
        <v>0</v>
      </c>
      <c r="J100" s="5">
        <v>0</v>
      </c>
      <c r="K100" s="5"/>
      <c r="L100" s="5"/>
      <c r="M100" s="5">
        <v>0</v>
      </c>
      <c r="N100" s="5">
        <f t="shared" si="6"/>
        <v>1</v>
      </c>
    </row>
    <row r="101" spans="1:14" x14ac:dyDescent="0.25">
      <c r="A101" s="1">
        <v>45969</v>
      </c>
      <c r="B101" s="2">
        <v>681</v>
      </c>
      <c r="C101" s="3">
        <v>1.38</v>
      </c>
      <c r="D101" s="3">
        <v>0.24</v>
      </c>
      <c r="E101" s="4">
        <f t="shared" si="4"/>
        <v>9.3978000000000002</v>
      </c>
      <c r="F101" s="4">
        <f t="shared" si="5"/>
        <v>1.6344000000000001</v>
      </c>
      <c r="G101" s="5">
        <v>1</v>
      </c>
      <c r="H101" s="5">
        <v>0</v>
      </c>
      <c r="I101" s="5">
        <v>0</v>
      </c>
      <c r="J101" s="5">
        <v>0</v>
      </c>
      <c r="K101" s="5"/>
      <c r="L101" s="5"/>
      <c r="M101" s="5">
        <v>0</v>
      </c>
      <c r="N101" s="5">
        <f t="shared" si="6"/>
        <v>1</v>
      </c>
    </row>
    <row r="102" spans="1:14" x14ac:dyDescent="0.25">
      <c r="A102" s="1">
        <v>45970</v>
      </c>
      <c r="B102" s="2">
        <v>435</v>
      </c>
      <c r="C102" s="3">
        <v>1.38</v>
      </c>
      <c r="D102" s="3">
        <v>0.24</v>
      </c>
      <c r="E102" s="4">
        <f t="shared" si="4"/>
        <v>6.0029999999999992</v>
      </c>
      <c r="F102" s="4">
        <f t="shared" si="5"/>
        <v>1.0439999999999998</v>
      </c>
      <c r="G102" s="4">
        <v>1</v>
      </c>
      <c r="H102" s="4">
        <v>0</v>
      </c>
      <c r="I102" s="4">
        <v>0</v>
      </c>
      <c r="J102" s="4">
        <v>0</v>
      </c>
      <c r="K102" s="4"/>
      <c r="L102" s="4"/>
      <c r="M102" s="4">
        <v>0</v>
      </c>
      <c r="N102" s="5">
        <f t="shared" si="6"/>
        <v>1</v>
      </c>
    </row>
    <row r="103" spans="1:14" x14ac:dyDescent="0.25">
      <c r="A103" s="1">
        <v>45971</v>
      </c>
      <c r="B103" s="2"/>
      <c r="C103" s="3"/>
      <c r="D103" s="3"/>
      <c r="E103" s="4">
        <f t="shared" si="4"/>
        <v>0</v>
      </c>
      <c r="F103" s="4">
        <f t="shared" si="5"/>
        <v>0</v>
      </c>
      <c r="G103" s="5">
        <v>0</v>
      </c>
      <c r="H103" s="5">
        <v>0</v>
      </c>
      <c r="I103" s="5">
        <v>0</v>
      </c>
      <c r="J103" s="5">
        <v>0</v>
      </c>
      <c r="K103" s="5"/>
      <c r="L103" s="5"/>
      <c r="M103" s="5">
        <v>0</v>
      </c>
      <c r="N103" s="5">
        <f t="shared" si="6"/>
        <v>0</v>
      </c>
    </row>
    <row r="104" spans="1:14" x14ac:dyDescent="0.25">
      <c r="A104" s="1">
        <v>45972</v>
      </c>
      <c r="B104" s="2">
        <v>904</v>
      </c>
      <c r="C104" s="3">
        <v>1.38</v>
      </c>
      <c r="D104" s="3">
        <v>0.24</v>
      </c>
      <c r="E104" s="4">
        <f t="shared" si="4"/>
        <v>12.475199999999999</v>
      </c>
      <c r="F104" s="4">
        <f t="shared" si="5"/>
        <v>2.1696</v>
      </c>
      <c r="G104" s="5">
        <v>0</v>
      </c>
      <c r="H104" s="5">
        <v>0</v>
      </c>
      <c r="I104" s="5">
        <v>0</v>
      </c>
      <c r="J104" s="5">
        <v>0</v>
      </c>
      <c r="K104" s="5"/>
      <c r="L104" s="5"/>
      <c r="M104" s="5">
        <v>0</v>
      </c>
      <c r="N104" s="5">
        <f t="shared" si="6"/>
        <v>0</v>
      </c>
    </row>
    <row r="105" spans="1:14" x14ac:dyDescent="0.25">
      <c r="A105" s="1">
        <v>45973</v>
      </c>
      <c r="B105" s="2">
        <v>1207</v>
      </c>
      <c r="C105" s="3">
        <v>1.38</v>
      </c>
      <c r="D105" s="3">
        <v>0.24</v>
      </c>
      <c r="E105" s="4">
        <f t="shared" si="4"/>
        <v>16.656599999999997</v>
      </c>
      <c r="F105" s="4">
        <f t="shared" si="5"/>
        <v>2.8968000000000003</v>
      </c>
      <c r="G105" s="5">
        <v>1</v>
      </c>
      <c r="H105" s="5">
        <v>0</v>
      </c>
      <c r="I105" s="5">
        <v>0</v>
      </c>
      <c r="J105" s="5">
        <v>0</v>
      </c>
      <c r="K105" s="5"/>
      <c r="L105" s="5"/>
      <c r="M105" s="5">
        <v>0</v>
      </c>
      <c r="N105" s="5">
        <f t="shared" si="6"/>
        <v>1</v>
      </c>
    </row>
    <row r="106" spans="1:14" x14ac:dyDescent="0.25">
      <c r="A106" s="1">
        <v>45974</v>
      </c>
      <c r="B106" s="2">
        <v>2074.3322337336799</v>
      </c>
      <c r="C106" s="3">
        <v>1.4059999999999999</v>
      </c>
      <c r="D106" s="3">
        <v>0.13500000000000001</v>
      </c>
      <c r="E106" s="4">
        <f t="shared" si="4"/>
        <v>29.165111206295538</v>
      </c>
      <c r="F106" s="4">
        <f t="shared" si="5"/>
        <v>2.8003485155404677</v>
      </c>
      <c r="G106" s="4">
        <v>2</v>
      </c>
      <c r="H106" s="4">
        <v>0</v>
      </c>
      <c r="I106" s="4">
        <v>0</v>
      </c>
      <c r="J106" s="4">
        <v>0</v>
      </c>
      <c r="K106" s="4"/>
      <c r="L106" s="4"/>
      <c r="M106" s="4">
        <v>0</v>
      </c>
      <c r="N106" s="23">
        <f t="shared" si="6"/>
        <v>2</v>
      </c>
    </row>
    <row r="107" spans="1:14" x14ac:dyDescent="0.25">
      <c r="A107" s="1">
        <v>45975</v>
      </c>
      <c r="B107" s="2">
        <v>1260</v>
      </c>
      <c r="C107" s="3">
        <v>1.4059999999999999</v>
      </c>
      <c r="D107" s="3">
        <v>0.13500000000000001</v>
      </c>
      <c r="E107" s="4">
        <f t="shared" si="4"/>
        <v>17.715599999999998</v>
      </c>
      <c r="F107" s="4">
        <f t="shared" si="5"/>
        <v>1.7010000000000003</v>
      </c>
      <c r="G107" s="4">
        <v>2</v>
      </c>
      <c r="H107" s="4">
        <v>0</v>
      </c>
      <c r="I107" s="4">
        <v>0</v>
      </c>
      <c r="J107" s="4">
        <v>0</v>
      </c>
      <c r="K107" s="4"/>
      <c r="L107" s="4"/>
      <c r="M107" s="4">
        <v>0</v>
      </c>
      <c r="N107" s="23">
        <f t="shared" si="6"/>
        <v>2</v>
      </c>
    </row>
    <row r="108" spans="1:14" x14ac:dyDescent="0.25">
      <c r="A108" s="1">
        <v>45976</v>
      </c>
      <c r="B108" s="2">
        <v>1620</v>
      </c>
      <c r="C108" s="3">
        <v>1.4059999999999999</v>
      </c>
      <c r="D108" s="3">
        <v>0.13500000000000001</v>
      </c>
      <c r="E108" s="4">
        <f t="shared" si="4"/>
        <v>22.777199999999997</v>
      </c>
      <c r="F108" s="4">
        <f t="shared" si="5"/>
        <v>2.1870000000000003</v>
      </c>
      <c r="G108" s="4">
        <v>2</v>
      </c>
      <c r="H108" s="4">
        <v>0</v>
      </c>
      <c r="I108" s="4">
        <v>0</v>
      </c>
      <c r="J108" s="4">
        <v>0</v>
      </c>
      <c r="K108" s="4"/>
      <c r="L108" s="4"/>
      <c r="M108" s="4">
        <v>0</v>
      </c>
      <c r="N108" s="23">
        <f t="shared" si="6"/>
        <v>2</v>
      </c>
    </row>
    <row r="109" spans="1:14" x14ac:dyDescent="0.25">
      <c r="A109" s="1">
        <v>45977</v>
      </c>
      <c r="B109" s="2">
        <v>1760</v>
      </c>
      <c r="C109" s="3">
        <v>1.4059999999999999</v>
      </c>
      <c r="D109" s="3">
        <v>0.13500000000000001</v>
      </c>
      <c r="E109" s="4">
        <f t="shared" si="4"/>
        <v>24.7456</v>
      </c>
      <c r="F109" s="4">
        <f t="shared" si="5"/>
        <v>2.3760000000000003</v>
      </c>
      <c r="G109" s="4">
        <v>2</v>
      </c>
      <c r="H109" s="4">
        <v>0</v>
      </c>
      <c r="I109" s="4">
        <v>0</v>
      </c>
      <c r="J109" s="4">
        <v>0</v>
      </c>
      <c r="K109" s="4"/>
      <c r="L109" s="4"/>
      <c r="M109" s="4">
        <v>0</v>
      </c>
      <c r="N109" s="23">
        <f t="shared" si="6"/>
        <v>2</v>
      </c>
    </row>
    <row r="110" spans="1:14" x14ac:dyDescent="0.25">
      <c r="A110" s="1">
        <v>45978</v>
      </c>
      <c r="B110" s="2">
        <v>1622</v>
      </c>
      <c r="C110" s="3">
        <v>1.4059999999999999</v>
      </c>
      <c r="D110" s="3">
        <v>0.13500000000000001</v>
      </c>
      <c r="E110" s="4">
        <f t="shared" si="4"/>
        <v>22.805319999999998</v>
      </c>
      <c r="F110" s="4">
        <f t="shared" si="5"/>
        <v>2.1897000000000002</v>
      </c>
      <c r="G110" s="4">
        <v>2</v>
      </c>
      <c r="H110" s="4">
        <v>0</v>
      </c>
      <c r="I110" s="4">
        <v>0</v>
      </c>
      <c r="J110" s="4">
        <v>0</v>
      </c>
      <c r="K110" s="4"/>
      <c r="L110" s="4"/>
      <c r="M110" s="4">
        <v>0</v>
      </c>
      <c r="N110" s="23">
        <f t="shared" si="6"/>
        <v>2</v>
      </c>
    </row>
    <row r="111" spans="1:14" x14ac:dyDescent="0.25">
      <c r="A111" s="1">
        <v>45979</v>
      </c>
      <c r="B111" s="2">
        <v>1552</v>
      </c>
      <c r="C111" s="3">
        <v>1.4059999999999999</v>
      </c>
      <c r="D111" s="3">
        <v>0.13500000000000001</v>
      </c>
      <c r="E111" s="4">
        <f t="shared" si="4"/>
        <v>21.821120000000001</v>
      </c>
      <c r="F111" s="4">
        <f t="shared" si="5"/>
        <v>2.0952000000000002</v>
      </c>
      <c r="G111" s="4">
        <v>2</v>
      </c>
      <c r="H111" s="4">
        <v>0</v>
      </c>
      <c r="I111" s="4">
        <v>0</v>
      </c>
      <c r="J111" s="4">
        <v>0</v>
      </c>
      <c r="K111" s="4"/>
      <c r="L111" s="4"/>
      <c r="M111" s="4">
        <v>0</v>
      </c>
      <c r="N111" s="23">
        <f t="shared" si="6"/>
        <v>2</v>
      </c>
    </row>
    <row r="112" spans="1:14" x14ac:dyDescent="0.25">
      <c r="A112" s="1">
        <v>45980</v>
      </c>
      <c r="B112" s="2">
        <v>1627</v>
      </c>
      <c r="C112" s="3">
        <v>1.4059999999999999</v>
      </c>
      <c r="D112" s="3">
        <v>0.13500000000000001</v>
      </c>
      <c r="E112" s="4">
        <f t="shared" si="4"/>
        <v>22.875619999999998</v>
      </c>
      <c r="F112" s="4">
        <f t="shared" si="5"/>
        <v>2.19645</v>
      </c>
      <c r="G112" s="4">
        <v>2</v>
      </c>
      <c r="H112" s="4">
        <v>0</v>
      </c>
      <c r="I112" s="4">
        <v>0</v>
      </c>
      <c r="J112" s="4">
        <v>0</v>
      </c>
      <c r="K112" s="4"/>
      <c r="L112" s="4"/>
      <c r="M112" s="4">
        <v>0</v>
      </c>
      <c r="N112" s="23">
        <f t="shared" si="6"/>
        <v>2</v>
      </c>
    </row>
    <row r="113" spans="1:14" x14ac:dyDescent="0.25">
      <c r="A113" s="1">
        <v>45981</v>
      </c>
      <c r="B113" s="2">
        <v>1984</v>
      </c>
      <c r="C113" s="3">
        <v>1.4059999999999999</v>
      </c>
      <c r="D113" s="3">
        <v>0.13500000000000001</v>
      </c>
      <c r="E113" s="4">
        <f t="shared" si="4"/>
        <v>27.895039999999998</v>
      </c>
      <c r="F113" s="4">
        <f t="shared" si="5"/>
        <v>2.6784000000000003</v>
      </c>
      <c r="G113" s="4">
        <v>2</v>
      </c>
      <c r="H113" s="4">
        <v>0</v>
      </c>
      <c r="I113" s="4">
        <v>0</v>
      </c>
      <c r="J113" s="4">
        <v>0</v>
      </c>
      <c r="K113" s="4"/>
      <c r="L113" s="4"/>
      <c r="M113" s="4">
        <v>0</v>
      </c>
      <c r="N113" s="23">
        <f t="shared" si="6"/>
        <v>2</v>
      </c>
    </row>
    <row r="114" spans="1:14" x14ac:dyDescent="0.25">
      <c r="A114" s="1">
        <v>45982</v>
      </c>
      <c r="B114" s="2">
        <v>1526</v>
      </c>
      <c r="C114" s="3">
        <v>1.4059999999999999</v>
      </c>
      <c r="D114" s="3">
        <v>0.13500000000000001</v>
      </c>
      <c r="E114" s="4">
        <f t="shared" si="4"/>
        <v>21.455560000000002</v>
      </c>
      <c r="F114" s="4">
        <f t="shared" si="5"/>
        <v>2.0601000000000003</v>
      </c>
      <c r="G114" s="4">
        <v>2</v>
      </c>
      <c r="H114" s="4">
        <v>0</v>
      </c>
      <c r="I114" s="4">
        <v>0</v>
      </c>
      <c r="J114" s="4">
        <v>0</v>
      </c>
      <c r="K114" s="4"/>
      <c r="L114" s="4"/>
      <c r="M114" s="4">
        <v>0</v>
      </c>
      <c r="N114" s="23">
        <f t="shared" si="6"/>
        <v>2</v>
      </c>
    </row>
    <row r="115" spans="1:14" x14ac:dyDescent="0.25">
      <c r="A115" s="1">
        <v>45983</v>
      </c>
      <c r="B115" s="2">
        <v>1500</v>
      </c>
      <c r="C115" s="3">
        <v>1.4059999999999999</v>
      </c>
      <c r="D115" s="3">
        <v>0.13500000000000001</v>
      </c>
      <c r="E115" s="4">
        <f t="shared" si="4"/>
        <v>21.09</v>
      </c>
      <c r="F115" s="4">
        <f t="shared" si="5"/>
        <v>2.0249999999999999</v>
      </c>
      <c r="G115" s="4">
        <v>2</v>
      </c>
      <c r="H115" s="4">
        <v>0</v>
      </c>
      <c r="I115" s="4">
        <v>0</v>
      </c>
      <c r="J115" s="4">
        <v>0</v>
      </c>
      <c r="K115" s="4"/>
      <c r="L115" s="4"/>
      <c r="M115" s="4">
        <v>0</v>
      </c>
      <c r="N115" s="23">
        <f t="shared" si="6"/>
        <v>2</v>
      </c>
    </row>
    <row r="116" spans="1:14" x14ac:dyDescent="0.25">
      <c r="A116" s="1">
        <v>45984</v>
      </c>
      <c r="B116" s="2">
        <v>1336</v>
      </c>
      <c r="C116" s="3">
        <v>1.4059999999999999</v>
      </c>
      <c r="D116" s="3">
        <v>0.13500000000000001</v>
      </c>
      <c r="E116" s="4">
        <f t="shared" si="4"/>
        <v>18.78416</v>
      </c>
      <c r="F116" s="4">
        <f t="shared" si="5"/>
        <v>1.8036000000000001</v>
      </c>
      <c r="G116" s="4">
        <v>2</v>
      </c>
      <c r="H116" s="4">
        <v>0</v>
      </c>
      <c r="I116" s="4">
        <v>0</v>
      </c>
      <c r="J116" s="4">
        <v>0</v>
      </c>
      <c r="K116" s="4"/>
      <c r="L116" s="4"/>
      <c r="M116" s="4">
        <v>0</v>
      </c>
      <c r="N116" s="23">
        <f t="shared" si="6"/>
        <v>2</v>
      </c>
    </row>
    <row r="117" spans="1:14" x14ac:dyDescent="0.25">
      <c r="A117" s="1">
        <v>45985</v>
      </c>
      <c r="B117" s="2">
        <v>2617</v>
      </c>
      <c r="C117" s="3">
        <v>1.4059999999999999</v>
      </c>
      <c r="D117" s="3">
        <v>0.13500000000000001</v>
      </c>
      <c r="E117" s="4">
        <f t="shared" si="4"/>
        <v>36.795020000000001</v>
      </c>
      <c r="F117" s="4">
        <f t="shared" si="5"/>
        <v>3.53295</v>
      </c>
      <c r="G117" s="4">
        <v>2</v>
      </c>
      <c r="H117" s="4">
        <v>0</v>
      </c>
      <c r="I117" s="4">
        <v>0</v>
      </c>
      <c r="J117" s="4">
        <v>0</v>
      </c>
      <c r="K117" s="4"/>
      <c r="L117" s="4"/>
      <c r="M117" s="4">
        <v>0</v>
      </c>
      <c r="N117" s="23">
        <f t="shared" si="6"/>
        <v>2</v>
      </c>
    </row>
    <row r="118" spans="1:14" x14ac:dyDescent="0.25">
      <c r="A118" s="1">
        <v>45986</v>
      </c>
      <c r="B118" s="2">
        <v>2803</v>
      </c>
      <c r="C118" s="3">
        <v>1.4059999999999999</v>
      </c>
      <c r="D118" s="3">
        <v>0.13500000000000001</v>
      </c>
      <c r="E118" s="4">
        <f t="shared" si="4"/>
        <v>39.410179999999997</v>
      </c>
      <c r="F118" s="4">
        <f t="shared" si="5"/>
        <v>3.7840500000000001</v>
      </c>
      <c r="G118" s="4">
        <v>2</v>
      </c>
      <c r="H118" s="4">
        <v>0</v>
      </c>
      <c r="I118" s="4">
        <v>0</v>
      </c>
      <c r="J118" s="4">
        <v>0</v>
      </c>
      <c r="K118" s="4"/>
      <c r="L118" s="4"/>
      <c r="M118" s="4">
        <v>0</v>
      </c>
      <c r="N118" s="23">
        <f t="shared" si="6"/>
        <v>2</v>
      </c>
    </row>
    <row r="119" spans="1:14" x14ac:dyDescent="0.25">
      <c r="A119" s="1">
        <v>45987</v>
      </c>
      <c r="B119" s="2">
        <v>2717</v>
      </c>
      <c r="C119" s="3">
        <v>1.4059999999999999</v>
      </c>
      <c r="D119" s="3">
        <v>0.13500000000000001</v>
      </c>
      <c r="E119" s="4">
        <f t="shared" si="4"/>
        <v>38.20102</v>
      </c>
      <c r="F119" s="4">
        <f t="shared" si="5"/>
        <v>3.6679500000000003</v>
      </c>
      <c r="G119" s="4">
        <v>2</v>
      </c>
      <c r="H119" s="4">
        <v>0</v>
      </c>
      <c r="I119" s="4">
        <v>0</v>
      </c>
      <c r="J119" s="4">
        <v>0</v>
      </c>
      <c r="K119" s="4"/>
      <c r="L119" s="4"/>
      <c r="M119" s="4">
        <v>0</v>
      </c>
      <c r="N119" s="23">
        <f t="shared" si="6"/>
        <v>2</v>
      </c>
    </row>
    <row r="120" spans="1:14" x14ac:dyDescent="0.25">
      <c r="A120" s="1">
        <v>45988</v>
      </c>
      <c r="B120" s="2">
        <v>2223</v>
      </c>
      <c r="C120" s="3">
        <v>1.4059999999999999</v>
      </c>
      <c r="D120" s="3">
        <v>0.13500000000000001</v>
      </c>
      <c r="E120" s="4">
        <f t="shared" si="4"/>
        <v>31.255379999999999</v>
      </c>
      <c r="F120" s="4">
        <f t="shared" si="5"/>
        <v>3.0010500000000002</v>
      </c>
      <c r="G120" s="4">
        <v>2</v>
      </c>
      <c r="H120" s="4">
        <v>0</v>
      </c>
      <c r="I120" s="4">
        <v>0</v>
      </c>
      <c r="J120" s="4">
        <v>0</v>
      </c>
      <c r="K120" s="4"/>
      <c r="L120" s="4"/>
      <c r="M120" s="4">
        <v>0</v>
      </c>
      <c r="N120" s="23">
        <f>+SUM(G120:M120)</f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Porfirio Guarachi Laura</cp:lastModifiedBy>
  <dcterms:created xsi:type="dcterms:W3CDTF">2025-11-24T19:40:07Z</dcterms:created>
  <dcterms:modified xsi:type="dcterms:W3CDTF">2025-12-08T19:39:30Z</dcterms:modified>
</cp:coreProperties>
</file>